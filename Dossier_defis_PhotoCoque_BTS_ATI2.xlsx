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Mode d'emploi" sheetId="1" state="visible" r:id="rId3"/>
    <sheet name="Les 5 défis" sheetId="2" state="visible" r:id="rId4"/>
    <sheet name="Ligne PhotoCoque" sheetId="3" state="visible" r:id="rId5"/>
    <sheet name="Équipe 1" sheetId="4" state="visible" r:id="rId6"/>
    <sheet name="Équipe 2" sheetId="5" state="visible" r:id="rId7"/>
    <sheet name="Équipe 3" sheetId="6" state="visible" r:id="rId8"/>
    <sheet name="Équipe 4" sheetId="7" state="visible" r:id="rId9"/>
    <sheet name="Équipe 5" sheetId="8" state="visible" r:id="rId10"/>
    <sheet name="Synthèse" sheetId="9" state="visible" r:id="rId11"/>
  </sheets>
  <definedNames>
    <definedName function="false" hidden="false" localSheetId="3" name="_xlnm.Print_Area" vbProcedure="false">'Équipe 1'!$A$1:$H$81</definedName>
    <definedName function="false" hidden="false" localSheetId="4" name="_xlnm.Print_Area" vbProcedure="false">'Équipe 2'!$A$1:$H$81</definedName>
    <definedName function="false" hidden="false" localSheetId="5" name="_xlnm.Print_Area" vbProcedure="false">'Équipe 3'!$A$1:$H$81</definedName>
    <definedName function="false" hidden="false" localSheetId="6" name="_xlnm.Print_Area" vbProcedure="false">'Équipe 4'!$A$1:$H$81</definedName>
    <definedName function="false" hidden="false" localSheetId="7" name="_xlnm.Print_Area" vbProcedure="false">'Équipe 5'!$A$1:$H$81</definedName>
    <definedName function="false" hidden="false" localSheetId="1" name="_xlnm.Print_Area" vbProcedure="false">'Les 5 défis'!$A$1:$H$12</definedName>
    <definedName function="false" hidden="false" localSheetId="0" name="_xlnm.Print_Area" vbProcedure="false">'Mode d''emploi'!$A$1:$B$14</definedName>
    <definedName function="false" hidden="false" localSheetId="8" name="_xlnm.Print_Area" vbProcedure="false">Synthèse!$A$1:$E$11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<sst xmlns="http://schemas.openxmlformats.org/spreadsheetml/2006/main" count="540" uniqueCount="195">
  <si>
    <t xml:space="preserve">Dossier défis – PhotoCoque Lab (mini-usine de coques personnalisées)</t>
  </si>
  <si>
    <t xml:space="preserve">Projet d'organisation industrielle · BTS ATI 2 · 5 équipes de 3 apprentis</t>
  </si>
  <si>
    <t xml:space="preserve">Contexte : le kiosque Photomaton personnalise une coque de smartphone (plus de 60 modèles, 15 €) avec la photo choisie par le client et la livre en 3 minutes. Nous passons du kiosque à une MINI-USINE de 6 postes qui fabrique ces coques à la demande (voir l'onglet « Ligne PhotoCoque »). Chaque équipe (3 apprentis) traite UN défi sur cette mini-usine et le présente en fin de projet. Les 5 défis sont décrits dans l'onglet « Les 5 défis ». Chaque équipe remplit son onglet « Équipe n ». Les données viennent de la supervision web (un onglet par défi) et du journal CSV téléchargeable.</t>
  </si>
  <si>
    <t xml:space="preserve">Code couleur : cellules JAUNES = à remplir ; texte bleu en italique = exemple à remplacer ; bandeaux foncés = titres (ne pas modifier).</t>
  </si>
  <si>
    <t xml:space="preserve">Outils : supervision web (index.html) · kiosque client (kiosque.html) · simulateur Node-RED · Tab5 sur la ligne réelle · journal CSV (ouvrir dans Excel).</t>
  </si>
  <si>
    <t xml:space="preserve">Méthode</t>
  </si>
  <si>
    <t xml:space="preserve">Analyse fonctionnelle du besoin (méthode APTE) :</t>
  </si>
  <si>
    <t xml:space="preserve">• Bête à cornes</t>
  </si>
  <si>
    <t xml:space="preserve">exprime le BESOIN : à qui/à quoi le projet rend-il service, sur quoi agit-il, dans quel but.</t>
  </si>
  <si>
    <t xml:space="preserve">• Diagramme pieuvre</t>
  </si>
  <si>
    <t xml:space="preserve">relie le système étudié à son milieu extérieur (EME). FP = fonction principale (relie 2 EME en passant par le système). FC = fonction contrainte (relie le système à 1 EME).</t>
  </si>
  <si>
    <t xml:space="preserve">• Organigramme</t>
  </si>
  <si>
    <t xml:space="preserve">répartit les 3 rôles de l'équipe : chef de projet, responsable technique, responsable qualité &amp; communication.</t>
  </si>
  <si>
    <t xml:space="preserve"> </t>
  </si>
  <si>
    <t xml:space="preserve">Contenu d'un onglet équipe</t>
  </si>
  <si>
    <t xml:space="preserve">1) Identité + organigramme · 2) Bête à cornes · 3) Diagramme pieuvre · 4) Objectifs mesurables · 5) Planning et répartition · 6) Grille d'évaluation /20.</t>
  </si>
  <si>
    <t xml:space="preserve">Règle</t>
  </si>
  <si>
    <t xml:space="preserve">chaque objectif doit être MESURABLE (valeur de départ, valeur cible). Relever l'état de départ dès la 1re séance pour prouver le gain.</t>
  </si>
  <si>
    <t xml:space="preserve">Les 5 défis</t>
  </si>
  <si>
    <t xml:space="preserve">Un défi par équipe — attribué par le formateur</t>
  </si>
  <si>
    <t xml:space="preserve">N°</t>
  </si>
  <si>
    <t xml:space="preserve">Défi</t>
  </si>
  <si>
    <t xml:space="preserve">Domaine</t>
  </si>
  <si>
    <t xml:space="preserve">Problème de départ</t>
  </si>
  <si>
    <t xml:space="preserve">Objectif principal</t>
  </si>
  <si>
    <t xml:space="preserve">Indicateur clé</t>
  </si>
  <si>
    <t xml:space="preserve">Données / outils fournis</t>
  </si>
  <si>
    <t xml:space="preserve">Équilibrage de la ligne</t>
  </si>
  <si>
    <t xml:space="preserve">Organisation industrielle</t>
  </si>
  <si>
    <t xml:space="preserve">Le poste 4 (Pose robot &amp; marouflage, 75 s) est plus lent que le takt (60 s) : la mini-usine ne tient pas la demande de 420 coques par jour.</t>
  </si>
  <si>
    <t xml:space="preserve">Équilibrer les temps de cycle des 6 postes pour passer sous le takt et atteindre une capacité ≥ 420 coques/jour.</t>
  </si>
  <si>
    <t xml:space="preserve">Écart temps de cycle / takt par poste ; capacité (coques/jour)</t>
  </si>
  <si>
    <t xml:space="preserve">Supervision onglet « Défi 1 » (diagramme de charge, takt, goulot) ; réglages temps de cycle et machines ; journal CSV (PIECE)</t>
  </si>
  <si>
    <t xml:space="preserve">Réduction des en-cours (Kanban)</t>
  </si>
  <si>
    <t xml:space="preserve">Les stickers imprimés s'accumulent devant le robot de pose : le délai de traversée se compte en heures, loin de la promesse « coque prête en quelques minutes ».</t>
  </si>
  <si>
    <t xml:space="preserve">Dimensionner les boucles Kanban (stock max devant chaque poste, CONWIP) et réduire l'en-cours sans perdre de débit.</t>
  </si>
  <si>
    <t xml:space="preserve">En-cours moyen (WIP) ; délai de traversée (loi de Little) ; débit (coques/h)</t>
  </si>
  <si>
    <t xml:space="preserve">Supervision onglet « Défi 2 » (en-cours par poste, Little) ; réglages Kanban et CONWIP ; journal CSV (COMMANDE, LIVRAISON)</t>
  </si>
  <si>
    <t xml:space="preserve">Mesure et amélioration du TRS</t>
  </si>
  <si>
    <t xml:space="preserve">Qualité / Organisation</t>
  </si>
  <si>
    <t xml:space="preserve">Le rendement réel de la mini-usine (TRS) n'est pas connu : pannes, attentes et coques NOK se cumulent.</t>
  </si>
  <si>
    <t xml:space="preserve">Calculer le TRS (D × P × Q), classer les pertes et réduire la perte principale.</t>
  </si>
  <si>
    <t xml:space="preserve">TRS (%) par poste et ligne ; Pareto des pertes (arrêts, cadence, non-qualité)</t>
  </si>
  <si>
    <t xml:space="preserve">Supervision onglet « Défi 3 » (TRS par poste, répartition des temps) ; journal CSV (ETAT, PIECE, QUALITE)</t>
  </si>
  <si>
    <t xml:space="preserve">Plan de maintenance préventive</t>
  </si>
  <si>
    <t xml:space="preserve">Maintenance</t>
  </si>
  <si>
    <t xml:space="preserve">Des pannes répétées arrêtent l'imprimante (P2 : bourrage, buses, encre) et le robot de pose (P4 : ventouse, rouleau de marouflage, axe).</t>
  </si>
  <si>
    <t xml:space="preserve">Construire un plan de maintenance préventive (périodicité, seuils de vibration) à partir de l'historique des pannes.</t>
  </si>
  <si>
    <t xml:space="preserve">MTBF, MTTR, disponibilité ; périodicité préventive ; seuil d'alerte vibration</t>
  </si>
  <si>
    <t xml:space="preserve">Supervision onglet « Défi 4 » (pannes, MTBF/MTTR, vibrations, bouton maintenance) ; Tab5 maintenance (IMU) ; journal CSV (ETAT, VIBRATION)</t>
  </si>
  <si>
    <t xml:space="preserve">Maîtrise de la qualité visuelle</t>
  </si>
  <si>
    <t xml:space="preserve">Qualité</t>
  </si>
  <si>
    <t xml:space="preserve">Des coques sortent NOK au contrôle caméra (P5) : visuel décalé, bulles, couleurs délavées, rayures. Chaque NOK est jetée et refaite.</t>
  </si>
  <si>
    <t xml:space="preserve">Réduire le taux de NOK sous 3 % et mettre en place une carte de contrôle p.</t>
  </si>
  <si>
    <t xml:space="preserve">Taux de NOK (%) ; Pareto des défauts ; carte p (p̄, LSC)</t>
  </si>
  <si>
    <t xml:space="preserve">Supervision onglet « Défi 5 » (Pareto, carte p, actions d'amélioration) ; Tab5 contrôle qualité ; journal CSV (QUALITE)</t>
  </si>
  <si>
    <t xml:space="preserve">Une équipe peut proposer une variante de son défi, à valider par le formateur. Tous les défis s'appuient sur la même mini-usine et les mêmes données MQTT / Node-RED. Le 6e défi (gestion des stocks de coques brutes) fait l'objet d'un TP spécifique.</t>
  </si>
  <si>
    <t xml:space="preserve">La mini-usine PhotoCoque — état de départ</t>
  </si>
  <si>
    <t xml:space="preserve">Valeurs de référence du simulateur (identiques à la supervision au démarrage). Relevez l'état de départ AVANT toute amélioration.</t>
  </si>
  <si>
    <t xml:space="preserve">Poste</t>
  </si>
  <si>
    <t xml:space="preserve">Désignation</t>
  </si>
  <si>
    <t xml:space="preserve">Stations de l'infographie</t>
  </si>
  <si>
    <t xml:space="preserve">Temps de cycle (s)</t>
  </si>
  <si>
    <t xml:space="preserve">Machines</t>
  </si>
  <si>
    <t xml:space="preserve">MTBF (s)</t>
  </si>
  <si>
    <t xml:space="preserve">MTTR (s)</t>
  </si>
  <si>
    <t xml:space="preserve">Pannes / défauts typiques</t>
  </si>
  <si>
    <t xml:space="preserve">P1</t>
  </si>
  <si>
    <t xml:space="preserve">Alimentation &amp; identification</t>
  </si>
  <si>
    <t xml:space="preserve">1 Alimentation + 2 Identification</t>
  </si>
  <si>
    <t xml:space="preserve">—</t>
  </si>
  <si>
    <t xml:space="preserve">P2</t>
  </si>
  <si>
    <t xml:space="preserve">Impression du visuel</t>
  </si>
  <si>
    <t xml:space="preserve">3 Impression du sticker</t>
  </si>
  <si>
    <t xml:space="preserve">bourrage papier, buses encrassées, encre vide</t>
  </si>
  <si>
    <t xml:space="preserve">P3</t>
  </si>
  <si>
    <t xml:space="preserve">Découpe du sticker</t>
  </si>
  <si>
    <t xml:space="preserve">4 Découpe / préparation</t>
  </si>
  <si>
    <t xml:space="preserve">rayures (convoyeur)</t>
  </si>
  <si>
    <t xml:space="preserve">P4</t>
  </si>
  <si>
    <t xml:space="preserve">Pose robot &amp; marouflage</t>
  </si>
  <si>
    <t xml:space="preserve">5 Robot de pose + 6 Marouflage</t>
  </si>
  <si>
    <t xml:space="preserve">ventouse usée, rouleau, axe robot ; défauts alignement et bulles</t>
  </si>
  <si>
    <t xml:space="preserve">P5</t>
  </si>
  <si>
    <t xml:space="preserve">Contrôle qualité caméra</t>
  </si>
  <si>
    <t xml:space="preserve">7 Contrôle qualité par caméra</t>
  </si>
  <si>
    <t xml:space="preserve">classe OK / NOK (alignement, bulles, couleur, rayures)</t>
  </si>
  <si>
    <t xml:space="preserve">P6</t>
  </si>
  <si>
    <t xml:space="preserve">Emballage &amp; sortie</t>
  </si>
  <si>
    <t xml:space="preserve">8 Sortie / emballage</t>
  </si>
  <si>
    <t xml:space="preserve">Données de demande et calculs</t>
  </si>
  <si>
    <t xml:space="preserve">Temps d'ouverture (s/jour)</t>
  </si>
  <si>
    <t xml:space="preserve">7 h par jour</t>
  </si>
  <si>
    <t xml:space="preserve">Demande client (coques/jour)</t>
  </si>
  <si>
    <t xml:space="preserve">Takt (s)</t>
  </si>
  <si>
    <t xml:space="preserve">temps d'ouverture ÷ demande</t>
  </si>
  <si>
    <t xml:space="preserve">Contenu de travail total (s)</t>
  </si>
  <si>
    <t xml:space="preserve">somme des temps de cycle</t>
  </si>
  <si>
    <t xml:space="preserve">Temps de cycle du goulot (s)</t>
  </si>
  <si>
    <t xml:space="preserve">Capacité théorique (coques/jour)</t>
  </si>
  <si>
    <t xml:space="preserve">temps d'ouverture ÷ temps du goulot</t>
  </si>
  <si>
    <t xml:space="preserve">Nombre minimal de postes équilibrés</t>
  </si>
  <si>
    <t xml:space="preserve">contenu de travail ÷ takt (arrondi au supérieur)</t>
  </si>
  <si>
    <t xml:space="preserve">Défauts au contrôle (départ)</t>
  </si>
  <si>
    <t xml:space="preserve">8,0 %</t>
  </si>
  <si>
    <t xml:space="preserve">alignement 3,5 % · bulles 2,5 % · couleur 1,2 % · rayures 0,8 %</t>
  </si>
  <si>
    <t xml:space="preserve">Seuils vibration (mm/s RMS)</t>
  </si>
  <si>
    <t xml:space="preserve">4,0 / 6,0</t>
  </si>
  <si>
    <t xml:space="preserve">alerte / danger</t>
  </si>
  <si>
    <t xml:space="preserve">Les cellules jaunes (ouverture, demande) et les temps de cycle peuvent être modifiés pour tester une hypothèse ; les calculs se mettent à jour.</t>
  </si>
  <si>
    <t xml:space="preserve">Correspondance avec l'infographie « Architecture d'une usine de coques de smartphone personnalisées » : 8 stations regroupées en 6 postes pour rester lisible.</t>
  </si>
  <si>
    <t xml:space="preserve">Équipe 1 — Équilibrage de la ligne</t>
  </si>
  <si>
    <t xml:space="preserve">Domaine : Organisation industrielle</t>
  </si>
  <si>
    <t xml:space="preserve">Rappel du défi</t>
  </si>
  <si>
    <t xml:space="preserve">1. Identité de l'équipe et organigramme</t>
  </si>
  <si>
    <t xml:space="preserve">Rôle</t>
  </si>
  <si>
    <t xml:space="preserve">Nom de l'apprenti</t>
  </si>
  <si>
    <t xml:space="preserve">Missions principales</t>
  </si>
  <si>
    <t xml:space="preserve">Chef de projet</t>
  </si>
  <si>
    <t xml:space="preserve">pilote, planning, lien formateur</t>
  </si>
  <si>
    <t xml:space="preserve">Responsable technique / méthodes</t>
  </si>
  <si>
    <t xml:space="preserve">mesures, solution, données</t>
  </si>
  <si>
    <t xml:space="preserve">Responsable qualité &amp; communication</t>
  </si>
  <si>
    <t xml:space="preserve">indicateurs, dossier, soutenance</t>
  </si>
  <si>
    <t xml:space="preserve">Organigramme : chef de projet au-dessus, les deux autres au-dessous ; dessinez-le ou utilisez les trois rôles ci-dessus.</t>
  </si>
  <si>
    <t xml:space="preserve">2. Bête à cornes (expression du besoin)</t>
  </si>
  <si>
    <t xml:space="preserve">À qui / à quoi le projet rend-il service ?</t>
  </si>
  <si>
    <t xml:space="preserve">Sur quoi / sur qui agit-il ?</t>
  </si>
  <si>
    <t xml:space="preserve">Dans quel but ? (le besoin)</t>
  </si>
  <si>
    <t xml:space="preserve">Pourquoi ce besoin existe-t-il ?</t>
  </si>
  <si>
    <t xml:space="preserve">Qu'est-ce qui pourrait le faire évoluer / disparaître ?</t>
  </si>
  <si>
    <t xml:space="preserve">3. Diagramme pieuvre (analyse fonctionnelle)</t>
  </si>
  <si>
    <t xml:space="preserve">Système / produit étudié :</t>
  </si>
  <si>
    <t xml:space="preserve">Éléments du milieu extérieur (EME)</t>
  </si>
  <si>
    <t xml:space="preserve">Repère</t>
  </si>
  <si>
    <t xml:space="preserve">EME 1</t>
  </si>
  <si>
    <t xml:space="preserve">EME 2</t>
  </si>
  <si>
    <t xml:space="preserve">EME 3</t>
  </si>
  <si>
    <t xml:space="preserve">EME 4</t>
  </si>
  <si>
    <t xml:space="preserve">EME 5</t>
  </si>
  <si>
    <t xml:space="preserve">EME 6</t>
  </si>
  <si>
    <t xml:space="preserve">Fonctions (FP = relie 2 EME · FC = relie le système à 1 EME)</t>
  </si>
  <si>
    <t xml:space="preserve">Type</t>
  </si>
  <si>
    <t xml:space="preserve">Énoncé de la fonction</t>
  </si>
  <si>
    <t xml:space="preserve">Niveau</t>
  </si>
  <si>
    <t xml:space="preserve">Flexibilité</t>
  </si>
  <si>
    <t xml:space="preserve">FP1</t>
  </si>
  <si>
    <t xml:space="preserve">FP</t>
  </si>
  <si>
    <t xml:space="preserve">ex. permettre au responsable de production de suivre la mini-usine en temps réel</t>
  </si>
  <si>
    <t xml:space="preserve">temps d'affichage</t>
  </si>
  <si>
    <t xml:space="preserve">&lt; 1 s</t>
  </si>
  <si>
    <t xml:space="preserve">± 0,3 s</t>
  </si>
  <si>
    <t xml:space="preserve">4. Objectifs mesurables</t>
  </si>
  <si>
    <t xml:space="preserve">Objectif</t>
  </si>
  <si>
    <t xml:space="preserve">Indicateur</t>
  </si>
  <si>
    <t xml:space="preserve">Valeur départ</t>
  </si>
  <si>
    <t xml:space="preserve">Valeur cible</t>
  </si>
  <si>
    <t xml:space="preserve">Comment on le mesure</t>
  </si>
  <si>
    <t xml:space="preserve">5. Planning et répartition (une croix par tâche et par apprenti)</t>
  </si>
  <si>
    <t xml:space="preserve">Séance / jalon</t>
  </si>
  <si>
    <t xml:space="preserve">Objectif de la séance</t>
  </si>
  <si>
    <t xml:space="preserve">Tâches</t>
  </si>
  <si>
    <t xml:space="preserve">Tech.</t>
  </si>
  <si>
    <t xml:space="preserve">Qual.</t>
  </si>
  <si>
    <t xml:space="preserve">S1 – Cadrage</t>
  </si>
  <si>
    <t xml:space="preserve">État des lieux, mesures de départ, APTE</t>
  </si>
  <si>
    <t xml:space="preserve">S2 – Analyse</t>
  </si>
  <si>
    <t xml:space="preserve">Objectifs, solution, données</t>
  </si>
  <si>
    <t xml:space="preserve">S3 – Mise en œuvre</t>
  </si>
  <si>
    <t xml:space="preserve">Tester sur la mini-usine / le simulateur</t>
  </si>
  <si>
    <t xml:space="preserve">S4 – Bilan + soutenance</t>
  </si>
  <si>
    <t xml:space="preserve">Mesurer le gain, préparer la présentation</t>
  </si>
  <si>
    <t xml:space="preserve">6. Grille d'évaluation</t>
  </si>
  <si>
    <t xml:space="preserve">Critère</t>
  </si>
  <si>
    <t xml:space="preserve">Points</t>
  </si>
  <si>
    <t xml:space="preserve">Note</t>
  </si>
  <si>
    <t xml:space="preserve">Analyse fonctionnelle (bête à cornes + pieuvre) correcte</t>
  </si>
  <si>
    <t xml:space="preserve">Objectifs mesurables et état de départ relevé</t>
  </si>
  <si>
    <t xml:space="preserve">Solution / amélioration mise en œuvre</t>
  </si>
  <si>
    <t xml:space="preserve">Gain prouvé par les indicateurs (avant / après)</t>
  </si>
  <si>
    <t xml:space="preserve">Organisation d'équipe et planning tenu</t>
  </si>
  <si>
    <t xml:space="preserve">Présentation et soutenance</t>
  </si>
  <si>
    <t xml:space="preserve">Total</t>
  </si>
  <si>
    <t xml:space="preserve">Équipe 2 — Réduction des en-cours (Kanban)</t>
  </si>
  <si>
    <t xml:space="preserve">Équipe 3 — Mesure et amélioration du TRS</t>
  </si>
  <si>
    <t xml:space="preserve">Domaine : Qualité / Organisation</t>
  </si>
  <si>
    <t xml:space="preserve">Équipe 4 — Plan de maintenance préventive</t>
  </si>
  <si>
    <t xml:space="preserve">Domaine : Maintenance</t>
  </si>
  <si>
    <t xml:space="preserve">Équipe 5 — Maîtrise de la qualité visuelle</t>
  </si>
  <si>
    <t xml:space="preserve">Domaine : Qualité</t>
  </si>
  <si>
    <t xml:space="preserve">Synthèse des 5 équipes</t>
  </si>
  <si>
    <t xml:space="preserve">Vue d'ensemble et notes</t>
  </si>
  <si>
    <t xml:space="preserve">Équipe</t>
  </si>
  <si>
    <t xml:space="preserve">Note /20</t>
  </si>
  <si>
    <t xml:space="preserve">Moyenne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</si>
</sst>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sz val="12"/>
      <color rgb="FFE6EEF5"/>
      <name val="Calibri"/>
      <family val="2"/>
      <charset val="1"/>
    </font>
    <font>
      <b val="true"/>
      <sz val="11"/>
      <color rgb="FF16212B"/>
      <name val="Calibri"/>
      <family val="0"/>
      <charset val="1"/>
    </font>
    <font>
      <i val="true"/>
      <sz val="10"/>
      <color rgb="FF5D6A75"/>
      <name val="Calibri"/>
      <family val="0"/>
      <charset val="1"/>
    </font>
    <font>
      <sz val="11"/>
      <color rgb="FF16212B"/>
      <name val="Calibri"/>
      <family val="0"/>
      <charset val="1"/>
    </font>
    <font>
      <sz val="12"/>
      <color rgb="FFE6EEF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16212B"/>
      <name val="Cambria"/>
      <family val="0"/>
      <charset val="1"/>
    </font>
    <font>
      <b val="true"/>
      <sz val="11"/>
      <color rgb="FF16212B"/>
      <name val="Arial"/>
      <family val="0"/>
      <charset val="1"/>
    </font>
    <font>
      <i val="true"/>
      <sz val="11"/>
      <color rgb="FF5D6A75"/>
      <name val="Cambria"/>
      <family val="0"/>
      <charset val="1"/>
    </font>
    <font>
      <b val="true"/>
      <sz val="12"/>
      <color rgb="FF0A8AD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6212B"/>
        <bgColor rgb="FF003300"/>
      </patternFill>
    </fill>
    <fill>
      <patternFill patternType="solid">
        <fgColor rgb="FF0A8AD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FF2F5"/>
        <bgColor rgb="FFF3F7FB"/>
      </patternFill>
    </fill>
    <fill>
      <patternFill patternType="solid">
        <fgColor rgb="FFFFF6D6"/>
        <bgColor rgb="FFEFF2F5"/>
      </patternFill>
    </fill>
    <fill>
      <patternFill patternType="solid">
        <fgColor rgb="FFF3F7FB"/>
        <bgColor rgb="FFEFF2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4CAD0"/>
      </left>
      <right style="thin">
        <color rgb="FFC4CAD0"/>
      </right>
      <top style="thin">
        <color rgb="FFC4CAD0"/>
      </top>
      <bottom style="thin">
        <color rgb="FFC4CAD0"/>
      </bottom>
      <diagonal/>
    </border>
    <border diagonalUp="false" diagonalDown="false">
      <left style="thin">
        <color rgb="FFC4CAD0"/>
      </left>
      <right/>
      <top style="thin">
        <color rgb="FFC4CAD0"/>
      </top>
      <bottom style="thin">
        <color rgb="FFC4CA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8AD0"/>
      <rgbColor rgb="FFC4CAD0"/>
      <rgbColor rgb="FF808080"/>
      <rgbColor rgb="FF9999FF"/>
      <rgbColor rgb="FF993366"/>
      <rgbColor rgb="FFFFF6D6"/>
      <rgbColor rgb="FFE6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2F5"/>
      <rgbColor rgb="FFF3F7F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A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1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3</xdr:col>
      <xdr:colOff>1233360</xdr:colOff>
      <xdr:row>26</xdr:row>
      <xdr:rowOff>123120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5191200"/>
          <a:ext cx="4475880" cy="220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3</xdr:col>
      <xdr:colOff>852480</xdr:colOff>
      <xdr:row>45</xdr:row>
      <xdr:rowOff>170640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11320" y="9067680"/>
          <a:ext cx="4095000" cy="2456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3</xdr:col>
      <xdr:colOff>1233360</xdr:colOff>
      <xdr:row>26</xdr:row>
      <xdr:rowOff>123120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211320" y="5191200"/>
          <a:ext cx="4475880" cy="220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3</xdr:col>
      <xdr:colOff>852480</xdr:colOff>
      <xdr:row>45</xdr:row>
      <xdr:rowOff>170640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211320" y="9067680"/>
          <a:ext cx="4095000" cy="2456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3</xdr:col>
      <xdr:colOff>1233360</xdr:colOff>
      <xdr:row>26</xdr:row>
      <xdr:rowOff>123120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211320" y="5191200"/>
          <a:ext cx="4475880" cy="220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3</xdr:col>
      <xdr:colOff>852480</xdr:colOff>
      <xdr:row>45</xdr:row>
      <xdr:rowOff>170640</xdr:rowOff>
    </xdr:to>
    <xdr:pic>
      <xdr:nvPicPr>
        <xdr:cNvPr id="5" name="Image 2" descr="Picture"/>
        <xdr:cNvPicPr/>
      </xdr:nvPicPr>
      <xdr:blipFill>
        <a:blip r:embed="rId2"/>
        <a:stretch/>
      </xdr:blipFill>
      <xdr:spPr>
        <a:xfrm>
          <a:off x="211320" y="9067680"/>
          <a:ext cx="4095000" cy="2456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3</xdr:col>
      <xdr:colOff>1233360</xdr:colOff>
      <xdr:row>26</xdr:row>
      <xdr:rowOff>123120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211320" y="5191200"/>
          <a:ext cx="4475880" cy="220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3</xdr:col>
      <xdr:colOff>852480</xdr:colOff>
      <xdr:row>45</xdr:row>
      <xdr:rowOff>170640</xdr:rowOff>
    </xdr:to>
    <xdr:pic>
      <xdr:nvPicPr>
        <xdr:cNvPr id="7" name="Image 2" descr="Picture"/>
        <xdr:cNvPicPr/>
      </xdr:nvPicPr>
      <xdr:blipFill>
        <a:blip r:embed="rId2"/>
        <a:stretch/>
      </xdr:blipFill>
      <xdr:spPr>
        <a:xfrm>
          <a:off x="211320" y="9067680"/>
          <a:ext cx="4095000" cy="2456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3</xdr:col>
      <xdr:colOff>1233360</xdr:colOff>
      <xdr:row>26</xdr:row>
      <xdr:rowOff>123120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211320" y="5191200"/>
          <a:ext cx="4475880" cy="220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3</xdr:col>
      <xdr:colOff>852480</xdr:colOff>
      <xdr:row>45</xdr:row>
      <xdr:rowOff>170640</xdr:rowOff>
    </xdr:to>
    <xdr:pic>
      <xdr:nvPicPr>
        <xdr:cNvPr id="9" name="Image 2" descr="Picture"/>
        <xdr:cNvPicPr/>
      </xdr:nvPicPr>
      <xdr:blipFill>
        <a:blip r:embed="rId2"/>
        <a:stretch/>
      </xdr:blipFill>
      <xdr:spPr>
        <a:xfrm>
          <a:off x="211320" y="9067680"/>
          <a:ext cx="4095000" cy="2456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8AD0"/>
    <pageSetUpPr fitToPage="tru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6" activePane="bottomLeft" state="frozen"/>
      <selection pane="topLeft" activeCell="A1" activeCellId="0" sqref="A1"/>
      <selection pane="bottomLeft" activeCell="A15" activeCellId="0" sqref="A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5.88"/>
    <col collapsed="false" customWidth="true" hidden="false" outlineLevel="0" max="2" min="2" style="0" width="102"/>
  </cols>
  <sheetData>
    <row r="1" customFormat="false" ht="30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8" hidden="false" customHeight="true" outlineLevel="0" collapsed="false">
      <c r="A4" s="3"/>
      <c r="B4" s="4"/>
    </row>
    <row r="5" customFormat="false" ht="109.5" hidden="false" customHeight="true" outlineLevel="0" collapsed="false">
      <c r="A5" s="3"/>
      <c r="B5" s="4" t="s">
        <v>2</v>
      </c>
    </row>
    <row r="6" customFormat="false" ht="33.75" hidden="false" customHeight="true" outlineLevel="0" collapsed="false">
      <c r="A6" s="3"/>
      <c r="B6" s="4" t="s">
        <v>3</v>
      </c>
    </row>
    <row r="7" customFormat="false" ht="33.75" hidden="false" customHeight="true" outlineLevel="0" collapsed="false">
      <c r="A7" s="3"/>
      <c r="B7" s="4" t="s">
        <v>4</v>
      </c>
    </row>
    <row r="8" customFormat="false" ht="18" hidden="false" customHeight="true" outlineLevel="0" collapsed="false">
      <c r="A8" s="3" t="s">
        <v>5</v>
      </c>
      <c r="B8" s="5" t="s">
        <v>6</v>
      </c>
    </row>
    <row r="9" customFormat="false" ht="18" hidden="false" customHeight="true" outlineLevel="0" collapsed="false">
      <c r="A9" s="3" t="s">
        <v>7</v>
      </c>
      <c r="B9" s="5" t="s">
        <v>8</v>
      </c>
    </row>
    <row r="10" customFormat="false" ht="33.75" hidden="false" customHeight="true" outlineLevel="0" collapsed="false">
      <c r="A10" s="3" t="s">
        <v>9</v>
      </c>
      <c r="B10" s="5" t="s">
        <v>10</v>
      </c>
    </row>
    <row r="11" customFormat="false" ht="33.75" hidden="false" customHeight="true" outlineLevel="0" collapsed="false">
      <c r="A11" s="3" t="s">
        <v>11</v>
      </c>
      <c r="B11" s="5" t="s">
        <v>12</v>
      </c>
    </row>
    <row r="12" customFormat="false" ht="18" hidden="false" customHeight="true" outlineLevel="0" collapsed="false">
      <c r="A12" s="3"/>
      <c r="B12" s="4" t="s">
        <v>13</v>
      </c>
    </row>
    <row r="13" customFormat="false" ht="33.75" hidden="false" customHeight="true" outlineLevel="0" collapsed="false">
      <c r="A13" s="3" t="s">
        <v>14</v>
      </c>
      <c r="B13" s="5" t="s">
        <v>15</v>
      </c>
    </row>
    <row r="14" customFormat="false" ht="33.75" hidden="false" customHeight="true" outlineLevel="0" collapsed="false">
      <c r="A14" s="3" t="s">
        <v>16</v>
      </c>
      <c r="B14" s="5" t="s">
        <v>17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4" right="0.4" top="0.5" bottom="0.5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&amp;R&amp;8 &amp;K888888&amp;A  ·  page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8AD0"/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G1" colorId="64" zoomScale="100" zoomScaleNormal="100" zoomScalePageLayoutView="100" workbookViewId="0">
      <pane xSplit="0" ySplit="2" topLeftCell="A6" activePane="bottomLeft" state="frozen"/>
      <selection pane="topLeft" activeCell="G1" activeCellId="0" sqref="G1"/>
      <selection pane="bottomLeft" activeCell="J8" activeCellId="0" sqref="J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6" min="5" style="0" width="40"/>
    <col collapsed="false" customWidth="true" hidden="false" outlineLevel="0" max="7" min="7" style="0" width="32"/>
    <col collapsed="false" customWidth="true" hidden="false" outlineLevel="0" max="8" min="8" style="0" width="34"/>
  </cols>
  <sheetData>
    <row r="1" customFormat="false" ht="30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6" t="s">
        <v>19</v>
      </c>
      <c r="B2" s="6"/>
      <c r="C2" s="6"/>
      <c r="D2" s="6"/>
      <c r="E2" s="6"/>
      <c r="F2" s="6"/>
      <c r="G2" s="6"/>
      <c r="H2" s="6"/>
    </row>
    <row r="4" customFormat="false" ht="27.75" hidden="false" customHeight="true" outlineLevel="0" collapsed="false"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</row>
    <row r="5" customFormat="false" ht="57.75" hidden="false" customHeight="true" outlineLevel="0" collapsed="false">
      <c r="B5" s="8" t="n">
        <v>1</v>
      </c>
      <c r="C5" s="8" t="s">
        <v>27</v>
      </c>
      <c r="D5" s="9" t="s">
        <v>28</v>
      </c>
      <c r="E5" s="9" t="s">
        <v>29</v>
      </c>
      <c r="F5" s="9" t="s">
        <v>30</v>
      </c>
      <c r="G5" s="9" t="s">
        <v>31</v>
      </c>
      <c r="H5" s="9" t="s">
        <v>32</v>
      </c>
    </row>
    <row r="6" customFormat="false" ht="57.75" hidden="false" customHeight="true" outlineLevel="0" collapsed="false">
      <c r="B6" s="8" t="n">
        <v>2</v>
      </c>
      <c r="C6" s="8" t="s">
        <v>33</v>
      </c>
      <c r="D6" s="9" t="s">
        <v>28</v>
      </c>
      <c r="E6" s="9" t="s">
        <v>34</v>
      </c>
      <c r="F6" s="9" t="s">
        <v>35</v>
      </c>
      <c r="G6" s="9" t="s">
        <v>36</v>
      </c>
      <c r="H6" s="9" t="s">
        <v>37</v>
      </c>
    </row>
    <row r="7" customFormat="false" ht="57.75" hidden="false" customHeight="true" outlineLevel="0" collapsed="false">
      <c r="B7" s="8" t="n">
        <v>3</v>
      </c>
      <c r="C7" s="8" t="s">
        <v>38</v>
      </c>
      <c r="D7" s="9" t="s">
        <v>39</v>
      </c>
      <c r="E7" s="9" t="s">
        <v>40</v>
      </c>
      <c r="F7" s="9" t="s">
        <v>41</v>
      </c>
      <c r="G7" s="9" t="s">
        <v>42</v>
      </c>
      <c r="H7" s="9" t="s">
        <v>43</v>
      </c>
    </row>
    <row r="8" customFormat="false" ht="57.75" hidden="false" customHeight="true" outlineLevel="0" collapsed="false">
      <c r="B8" s="8" t="n">
        <v>4</v>
      </c>
      <c r="C8" s="8" t="s">
        <v>44</v>
      </c>
      <c r="D8" s="9" t="s">
        <v>45</v>
      </c>
      <c r="E8" s="9" t="s">
        <v>46</v>
      </c>
      <c r="F8" s="9" t="s">
        <v>47</v>
      </c>
      <c r="G8" s="9" t="s">
        <v>48</v>
      </c>
      <c r="H8" s="9" t="s">
        <v>49</v>
      </c>
    </row>
    <row r="9" customFormat="false" ht="57.75" hidden="false" customHeight="true" outlineLevel="0" collapsed="false">
      <c r="B9" s="8" t="n">
        <v>5</v>
      </c>
      <c r="C9" s="8" t="s">
        <v>50</v>
      </c>
      <c r="D9" s="9" t="s">
        <v>51</v>
      </c>
      <c r="E9" s="9" t="s">
        <v>52</v>
      </c>
      <c r="F9" s="9" t="s">
        <v>53</v>
      </c>
      <c r="G9" s="9" t="s">
        <v>54</v>
      </c>
      <c r="H9" s="9" t="s">
        <v>55</v>
      </c>
    </row>
    <row r="10" customFormat="false" ht="14.25" hidden="false" customHeight="false" outlineLevel="0" collapsed="false">
      <c r="B10" s="10"/>
      <c r="C10" s="10"/>
      <c r="D10" s="11"/>
      <c r="E10" s="11"/>
      <c r="F10" s="11"/>
      <c r="G10" s="11"/>
      <c r="H10" s="11"/>
    </row>
    <row r="11" customFormat="false" ht="31.5" hidden="false" customHeight="true" outlineLevel="0" collapsed="false">
      <c r="A11" s="12" t="s">
        <v>56</v>
      </c>
      <c r="B11" s="12"/>
      <c r="C11" s="12"/>
      <c r="D11" s="12"/>
      <c r="E11" s="12"/>
      <c r="F11" s="12"/>
      <c r="G11" s="12"/>
      <c r="H11" s="12"/>
    </row>
    <row r="12" customFormat="false" ht="15" hidden="false" customHeight="true" outlineLevel="0" collapsed="false">
      <c r="A12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4" right="0.4" top="0.5" bottom="0.5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&amp;R&amp;8 &amp;K888888&amp;A  ·  page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8AD0"/>
    <pageSetUpPr fitToPage="tru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4" min="3" style="0" width="30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40"/>
  </cols>
  <sheetData>
    <row r="1" customFormat="false" ht="30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6" t="s">
        <v>58</v>
      </c>
      <c r="B2" s="6"/>
      <c r="C2" s="6"/>
      <c r="D2" s="6"/>
      <c r="E2" s="6"/>
      <c r="F2" s="6"/>
      <c r="G2" s="6"/>
      <c r="H2" s="6"/>
      <c r="I2" s="6"/>
    </row>
    <row r="4" customFormat="false" ht="30" hidden="false" customHeight="true" outlineLevel="0" collapsed="false">
      <c r="B4" s="7" t="s">
        <v>59</v>
      </c>
      <c r="C4" s="7" t="s">
        <v>60</v>
      </c>
      <c r="D4" s="7" t="s">
        <v>61</v>
      </c>
      <c r="E4" s="7" t="s">
        <v>62</v>
      </c>
      <c r="F4" s="7" t="s">
        <v>63</v>
      </c>
      <c r="G4" s="7" t="s">
        <v>64</v>
      </c>
      <c r="H4" s="7" t="s">
        <v>65</v>
      </c>
      <c r="I4" s="7" t="s">
        <v>66</v>
      </c>
    </row>
    <row r="5" customFormat="false" ht="31.5" hidden="false" customHeight="true" outlineLevel="0" collapsed="false">
      <c r="B5" s="13" t="s">
        <v>67</v>
      </c>
      <c r="C5" s="13" t="s">
        <v>68</v>
      </c>
      <c r="D5" s="13" t="s">
        <v>69</v>
      </c>
      <c r="E5" s="14" t="n">
        <v>35</v>
      </c>
      <c r="F5" s="15" t="n">
        <v>1</v>
      </c>
      <c r="G5" s="15" t="n">
        <v>0</v>
      </c>
      <c r="H5" s="15" t="n">
        <v>0</v>
      </c>
      <c r="I5" s="13" t="s">
        <v>70</v>
      </c>
    </row>
    <row r="6" customFormat="false" ht="31.5" hidden="false" customHeight="true" outlineLevel="0" collapsed="false">
      <c r="B6" s="13" t="s">
        <v>71</v>
      </c>
      <c r="C6" s="13" t="s">
        <v>72</v>
      </c>
      <c r="D6" s="13" t="s">
        <v>73</v>
      </c>
      <c r="E6" s="14" t="n">
        <v>50</v>
      </c>
      <c r="F6" s="15" t="n">
        <v>1</v>
      </c>
      <c r="G6" s="15" t="n">
        <v>5400</v>
      </c>
      <c r="H6" s="15" t="n">
        <v>420</v>
      </c>
      <c r="I6" s="13" t="s">
        <v>74</v>
      </c>
    </row>
    <row r="7" customFormat="false" ht="31.5" hidden="false" customHeight="true" outlineLevel="0" collapsed="false">
      <c r="B7" s="13" t="s">
        <v>75</v>
      </c>
      <c r="C7" s="13" t="s">
        <v>76</v>
      </c>
      <c r="D7" s="13" t="s">
        <v>77</v>
      </c>
      <c r="E7" s="14" t="n">
        <v>40</v>
      </c>
      <c r="F7" s="15" t="n">
        <v>1</v>
      </c>
      <c r="G7" s="15" t="n">
        <v>0</v>
      </c>
      <c r="H7" s="15" t="n">
        <v>0</v>
      </c>
      <c r="I7" s="13" t="s">
        <v>78</v>
      </c>
    </row>
    <row r="8" customFormat="false" ht="31.5" hidden="false" customHeight="true" outlineLevel="0" collapsed="false">
      <c r="B8" s="13" t="s">
        <v>79</v>
      </c>
      <c r="C8" s="13" t="s">
        <v>80</v>
      </c>
      <c r="D8" s="13" t="s">
        <v>81</v>
      </c>
      <c r="E8" s="14" t="n">
        <v>75</v>
      </c>
      <c r="F8" s="15" t="n">
        <v>1</v>
      </c>
      <c r="G8" s="15" t="n">
        <v>3600</v>
      </c>
      <c r="H8" s="15" t="n">
        <v>600</v>
      </c>
      <c r="I8" s="13" t="s">
        <v>82</v>
      </c>
    </row>
    <row r="9" customFormat="false" ht="31.5" hidden="false" customHeight="true" outlineLevel="0" collapsed="false">
      <c r="B9" s="13" t="s">
        <v>83</v>
      </c>
      <c r="C9" s="13" t="s">
        <v>84</v>
      </c>
      <c r="D9" s="13" t="s">
        <v>85</v>
      </c>
      <c r="E9" s="14" t="n">
        <v>30</v>
      </c>
      <c r="F9" s="15" t="n">
        <v>1</v>
      </c>
      <c r="G9" s="15" t="n">
        <v>0</v>
      </c>
      <c r="H9" s="15" t="n">
        <v>0</v>
      </c>
      <c r="I9" s="13" t="s">
        <v>86</v>
      </c>
    </row>
    <row r="10" customFormat="false" ht="31.5" hidden="false" customHeight="true" outlineLevel="0" collapsed="false">
      <c r="B10" s="13" t="s">
        <v>87</v>
      </c>
      <c r="C10" s="13" t="s">
        <v>88</v>
      </c>
      <c r="D10" s="13" t="s">
        <v>89</v>
      </c>
      <c r="E10" s="14" t="n">
        <v>25</v>
      </c>
      <c r="F10" s="15" t="n">
        <v>1</v>
      </c>
      <c r="G10" s="15" t="n">
        <v>0</v>
      </c>
      <c r="H10" s="15" t="n">
        <v>0</v>
      </c>
      <c r="I10" s="13" t="s">
        <v>70</v>
      </c>
    </row>
    <row r="12" customFormat="false" ht="15" hidden="false" customHeight="false" outlineLevel="0" collapsed="false">
      <c r="B12" s="16" t="s">
        <v>90</v>
      </c>
    </row>
    <row r="13" customFormat="false" ht="15" hidden="false" customHeight="false" outlineLevel="0" collapsed="false">
      <c r="B13" s="8"/>
      <c r="C13" s="8" t="s">
        <v>91</v>
      </c>
      <c r="E13" s="17" t="n">
        <v>25200</v>
      </c>
      <c r="F13" s="18" t="s">
        <v>92</v>
      </c>
      <c r="G13" s="18"/>
      <c r="H13" s="18"/>
      <c r="I13" s="18"/>
    </row>
    <row r="14" customFormat="false" ht="15" hidden="false" customHeight="false" outlineLevel="0" collapsed="false">
      <c r="B14" s="8"/>
      <c r="C14" s="8" t="s">
        <v>93</v>
      </c>
      <c r="E14" s="17" t="n">
        <v>420</v>
      </c>
      <c r="F14" s="18"/>
      <c r="G14" s="18"/>
      <c r="H14" s="18"/>
      <c r="I14" s="18"/>
    </row>
    <row r="15" customFormat="false" ht="15" hidden="false" customHeight="false" outlineLevel="0" collapsed="false">
      <c r="B15" s="8"/>
      <c r="C15" s="8" t="s">
        <v>94</v>
      </c>
      <c r="E15" s="19" t="n">
        <f aca="false">E13/E14</f>
        <v>60</v>
      </c>
      <c r="F15" s="18" t="s">
        <v>95</v>
      </c>
      <c r="G15" s="18"/>
      <c r="H15" s="18"/>
      <c r="I15" s="18"/>
    </row>
    <row r="16" customFormat="false" ht="15" hidden="false" customHeight="false" outlineLevel="0" collapsed="false">
      <c r="B16" s="8"/>
      <c r="C16" s="8" t="s">
        <v>96</v>
      </c>
      <c r="E16" s="19" t="n">
        <f aca="false">SUM(E5:E10)</f>
        <v>255</v>
      </c>
      <c r="F16" s="18" t="s">
        <v>97</v>
      </c>
      <c r="G16" s="18"/>
      <c r="H16" s="18"/>
      <c r="I16" s="18"/>
    </row>
    <row r="17" customFormat="false" ht="15" hidden="false" customHeight="false" outlineLevel="0" collapsed="false">
      <c r="B17" s="8"/>
      <c r="C17" s="8" t="s">
        <v>98</v>
      </c>
      <c r="E17" s="19" t="n">
        <f aca="false">MAX(E5:E10)</f>
        <v>75</v>
      </c>
      <c r="F17" s="18"/>
      <c r="G17" s="18"/>
      <c r="H17" s="18"/>
      <c r="I17" s="18"/>
    </row>
    <row r="18" customFormat="false" ht="15" hidden="false" customHeight="false" outlineLevel="0" collapsed="false">
      <c r="B18" s="8"/>
      <c r="C18" s="8" t="s">
        <v>99</v>
      </c>
      <c r="E18" s="19" t="n">
        <f aca="false">INT(E13/E17)</f>
        <v>336</v>
      </c>
      <c r="F18" s="18" t="s">
        <v>100</v>
      </c>
      <c r="G18" s="18"/>
      <c r="H18" s="18"/>
      <c r="I18" s="18"/>
    </row>
    <row r="19" customFormat="false" ht="28.35" hidden="false" customHeight="false" outlineLevel="0" collapsed="false">
      <c r="B19" s="8"/>
      <c r="C19" s="8" t="s">
        <v>101</v>
      </c>
      <c r="E19" s="19" t="n">
        <f aca="false">ROUNDUP(E16/E15,0)</f>
        <v>5</v>
      </c>
      <c r="F19" s="18" t="s">
        <v>102</v>
      </c>
      <c r="G19" s="18"/>
      <c r="H19" s="18"/>
      <c r="I19" s="18"/>
    </row>
    <row r="20" customFormat="false" ht="15" hidden="false" customHeight="false" outlineLevel="0" collapsed="false">
      <c r="B20" s="8"/>
      <c r="C20" s="8" t="s">
        <v>103</v>
      </c>
      <c r="E20" s="19" t="s">
        <v>104</v>
      </c>
      <c r="F20" s="18" t="s">
        <v>105</v>
      </c>
      <c r="G20" s="18"/>
      <c r="H20" s="18"/>
      <c r="I20" s="18"/>
    </row>
    <row r="21" customFormat="false" ht="15" hidden="false" customHeight="false" outlineLevel="0" collapsed="false">
      <c r="B21" s="8"/>
      <c r="C21" s="8" t="s">
        <v>106</v>
      </c>
      <c r="E21" s="19" t="s">
        <v>107</v>
      </c>
      <c r="F21" s="18" t="s">
        <v>108</v>
      </c>
      <c r="G21" s="18"/>
      <c r="H21" s="18"/>
      <c r="I21" s="18"/>
    </row>
    <row r="23" customFormat="false" ht="15" hidden="false" customHeight="false" outlineLevel="0" collapsed="false">
      <c r="B23" s="18" t="s">
        <v>109</v>
      </c>
      <c r="C23" s="18"/>
      <c r="D23" s="18"/>
      <c r="E23" s="18"/>
      <c r="F23" s="18"/>
      <c r="G23" s="18"/>
      <c r="H23" s="18"/>
      <c r="I23" s="18"/>
    </row>
    <row r="24" customFormat="false" ht="15" hidden="false" customHeight="false" outlineLevel="0" collapsed="false">
      <c r="B24" s="18" t="s">
        <v>110</v>
      </c>
      <c r="C24" s="18"/>
      <c r="D24" s="18"/>
      <c r="E24" s="18"/>
      <c r="F24" s="18"/>
      <c r="G24" s="18"/>
      <c r="H24" s="18"/>
      <c r="I24" s="18"/>
    </row>
  </sheetData>
  <mergeCells count="13">
    <mergeCell ref="A1:I1"/>
    <mergeCell ref="A2:I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B23:I23"/>
    <mergeCell ref="B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8AD0"/>
    <pageSetUpPr fitToPage="true"/>
  </sheetPr>
  <dimension ref="A1:H81"/>
  <sheetViews>
    <sheetView showFormulas="false" showGridLines="fals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2" topLeftCell="A3" activePane="bottomLeft" state="frozen"/>
      <selection pane="topLeft" activeCell="D1" activeCellId="0" sqref="D1"/>
      <selection pane="bottomLeft" activeCell="I1" activeCellId="0" sqref="I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5" min="3" style="0" width="22"/>
    <col collapsed="false" customWidth="true" hidden="false" outlineLevel="0" max="6" min="6" style="0" width="20"/>
    <col collapsed="false" customWidth="true" hidden="false" outlineLevel="0" max="8" min="7" style="0" width="12"/>
  </cols>
  <sheetData>
    <row r="1" customFormat="false" ht="30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6" t="s">
        <v>112</v>
      </c>
      <c r="B2" s="6"/>
      <c r="C2" s="6"/>
      <c r="D2" s="6"/>
      <c r="E2" s="6"/>
      <c r="F2" s="6"/>
      <c r="G2" s="6"/>
      <c r="H2" s="6"/>
    </row>
    <row r="4" customFormat="false" ht="21.75" hidden="false" customHeight="true" outlineLevel="0" collapsed="false">
      <c r="A4" s="20" t="s">
        <v>113</v>
      </c>
      <c r="B4" s="20"/>
      <c r="C4" s="20"/>
      <c r="D4" s="20"/>
      <c r="E4" s="20"/>
      <c r="F4" s="20"/>
      <c r="G4" s="20"/>
      <c r="H4" s="20"/>
    </row>
    <row r="5" customFormat="false" ht="33" hidden="false" customHeight="true" outlineLevel="0" collapsed="false">
      <c r="B5" s="21" t="s">
        <v>23</v>
      </c>
      <c r="C5" s="22" t="s">
        <v>29</v>
      </c>
      <c r="D5" s="22"/>
      <c r="E5" s="22"/>
      <c r="F5" s="22"/>
      <c r="G5" s="22"/>
      <c r="H5" s="22"/>
    </row>
    <row r="6" customFormat="false" ht="33" hidden="false" customHeight="true" outlineLevel="0" collapsed="false">
      <c r="B6" s="21" t="s">
        <v>24</v>
      </c>
      <c r="C6" s="22" t="s">
        <v>30</v>
      </c>
      <c r="D6" s="22"/>
      <c r="E6" s="22"/>
      <c r="F6" s="22"/>
      <c r="G6" s="22"/>
      <c r="H6" s="22"/>
    </row>
    <row r="7" customFormat="false" ht="33" hidden="false" customHeight="true" outlineLevel="0" collapsed="false">
      <c r="B7" s="21" t="s">
        <v>25</v>
      </c>
      <c r="C7" s="22" t="s">
        <v>31</v>
      </c>
      <c r="D7" s="22"/>
      <c r="E7" s="22"/>
      <c r="F7" s="22"/>
      <c r="G7" s="22"/>
      <c r="H7" s="22"/>
    </row>
    <row r="8" customFormat="false" ht="33" hidden="false" customHeight="true" outlineLevel="0" collapsed="false">
      <c r="B8" s="21" t="s">
        <v>26</v>
      </c>
      <c r="C8" s="22" t="s">
        <v>32</v>
      </c>
      <c r="D8" s="22"/>
      <c r="E8" s="22"/>
      <c r="F8" s="22"/>
      <c r="G8" s="22"/>
      <c r="H8" s="22"/>
    </row>
    <row r="10" customFormat="false" ht="21.75" hidden="false" customHeight="true" outlineLevel="0" collapsed="false">
      <c r="A10" s="20" t="s">
        <v>114</v>
      </c>
      <c r="B10" s="20"/>
      <c r="C10" s="20"/>
      <c r="D10" s="20"/>
      <c r="E10" s="20"/>
      <c r="F10" s="20"/>
      <c r="G10" s="20"/>
      <c r="H10" s="20"/>
    </row>
    <row r="11" customFormat="false" ht="27.75" hidden="false" customHeight="true" outlineLevel="0" collapsed="false">
      <c r="B11" s="7" t="s">
        <v>115</v>
      </c>
      <c r="C11" s="7" t="s">
        <v>116</v>
      </c>
      <c r="D11" s="7" t="s">
        <v>117</v>
      </c>
      <c r="E11" s="7"/>
      <c r="F11" s="7"/>
      <c r="G11" s="7"/>
      <c r="H11" s="7"/>
    </row>
    <row r="12" customFormat="false" ht="25.5" hidden="false" customHeight="true" outlineLevel="0" collapsed="false">
      <c r="B12" s="8" t="s">
        <v>118</v>
      </c>
      <c r="C12" s="23"/>
      <c r="D12" s="24" t="s">
        <v>119</v>
      </c>
      <c r="E12" s="24"/>
      <c r="F12" s="24"/>
      <c r="G12" s="24"/>
      <c r="H12" s="24"/>
    </row>
    <row r="13" customFormat="false" ht="25.5" hidden="false" customHeight="true" outlineLevel="0" collapsed="false">
      <c r="B13" s="8" t="s">
        <v>120</v>
      </c>
      <c r="C13" s="23"/>
      <c r="D13" s="24" t="s">
        <v>121</v>
      </c>
      <c r="E13" s="24"/>
      <c r="F13" s="24"/>
      <c r="G13" s="24"/>
      <c r="H13" s="24"/>
    </row>
    <row r="14" customFormat="false" ht="25.5" hidden="false" customHeight="true" outlineLevel="0" collapsed="false">
      <c r="B14" s="8" t="s">
        <v>122</v>
      </c>
      <c r="C14" s="23"/>
      <c r="D14" s="24" t="s">
        <v>123</v>
      </c>
      <c r="E14" s="24"/>
      <c r="F14" s="24"/>
      <c r="G14" s="24"/>
      <c r="H14" s="24"/>
    </row>
    <row r="15" customFormat="false" ht="15" hidden="false" customHeight="true" outlineLevel="0" collapsed="false">
      <c r="A15" s="12" t="s">
        <v>124</v>
      </c>
      <c r="B15" s="12"/>
      <c r="C15" s="12"/>
      <c r="D15" s="12"/>
      <c r="E15" s="12"/>
      <c r="F15" s="12"/>
      <c r="G15" s="12"/>
      <c r="H15" s="12"/>
    </row>
    <row r="17" customFormat="false" ht="21.75" hidden="false" customHeight="true" outlineLevel="0" collapsed="false">
      <c r="A17" s="20" t="s">
        <v>125</v>
      </c>
      <c r="B17" s="20"/>
      <c r="C17" s="20"/>
      <c r="D17" s="20"/>
      <c r="E17" s="20"/>
      <c r="F17" s="20"/>
      <c r="G17" s="20"/>
      <c r="H17" s="20"/>
    </row>
    <row r="18" customFormat="false" ht="15" hidden="false" customHeight="true" outlineLevel="0" collapsed="false">
      <c r="F18" s="10" t="s">
        <v>126</v>
      </c>
      <c r="G18" s="10"/>
      <c r="H18" s="10"/>
    </row>
    <row r="19" customFormat="false" ht="25.5" hidden="false" customHeight="true" outlineLevel="0" collapsed="false">
      <c r="F19" s="25"/>
      <c r="G19" s="25"/>
      <c r="H19" s="25"/>
    </row>
    <row r="20" customFormat="false" ht="15" hidden="false" customHeight="true" outlineLevel="0" collapsed="false">
      <c r="F20" s="10" t="s">
        <v>127</v>
      </c>
      <c r="G20" s="10"/>
      <c r="H20" s="10"/>
    </row>
    <row r="21" customFormat="false" ht="25.5" hidden="false" customHeight="true" outlineLevel="0" collapsed="false">
      <c r="F21" s="25"/>
      <c r="G21" s="25"/>
      <c r="H21" s="25"/>
    </row>
    <row r="22" customFormat="false" ht="15" hidden="false" customHeight="true" outlineLevel="0" collapsed="false">
      <c r="F22" s="10" t="s">
        <v>128</v>
      </c>
      <c r="G22" s="10"/>
      <c r="H22" s="10"/>
    </row>
    <row r="23" customFormat="false" ht="25.5" hidden="false" customHeight="true" outlineLevel="0" collapsed="false">
      <c r="F23" s="25"/>
      <c r="G23" s="25"/>
      <c r="H23" s="25"/>
    </row>
    <row r="31" customFormat="false" ht="24" hidden="false" customHeight="true" outlineLevel="0" collapsed="false">
      <c r="B31" s="21" t="s">
        <v>129</v>
      </c>
      <c r="C31" s="25"/>
      <c r="D31" s="25"/>
      <c r="E31" s="25"/>
      <c r="F31" s="25"/>
      <c r="G31" s="25"/>
      <c r="H31" s="25"/>
    </row>
    <row r="32" customFormat="false" ht="24" hidden="false" customHeight="true" outlineLevel="0" collapsed="false">
      <c r="B32" s="21" t="s">
        <v>130</v>
      </c>
      <c r="C32" s="25"/>
      <c r="D32" s="25"/>
      <c r="E32" s="25"/>
      <c r="F32" s="25"/>
      <c r="G32" s="25"/>
      <c r="H32" s="25"/>
    </row>
    <row r="34" customFormat="false" ht="21.75" hidden="false" customHeight="true" outlineLevel="0" collapsed="false">
      <c r="A34" s="20" t="s">
        <v>131</v>
      </c>
      <c r="B34" s="20"/>
      <c r="C34" s="20"/>
      <c r="D34" s="20"/>
      <c r="E34" s="20"/>
      <c r="F34" s="20"/>
      <c r="G34" s="20"/>
      <c r="H34" s="20"/>
    </row>
    <row r="35" customFormat="false" ht="14.25" hidden="false" customHeight="false" outlineLevel="0" collapsed="false">
      <c r="F35" s="26" t="s">
        <v>132</v>
      </c>
      <c r="G35" s="26"/>
      <c r="H35" s="26"/>
    </row>
    <row r="36" customFormat="false" ht="24" hidden="false" customHeight="true" outlineLevel="0" collapsed="false">
      <c r="F36" s="25"/>
      <c r="G36" s="25"/>
      <c r="H36" s="25"/>
    </row>
    <row r="38" customFormat="false" ht="14.25" hidden="false" customHeight="false" outlineLevel="0" collapsed="false">
      <c r="F38" s="3" t="s">
        <v>133</v>
      </c>
    </row>
    <row r="39" customFormat="false" ht="27.75" hidden="false" customHeight="true" outlineLevel="0" collapsed="false">
      <c r="F39" s="7" t="s">
        <v>134</v>
      </c>
      <c r="G39" s="7" t="s">
        <v>60</v>
      </c>
      <c r="H39" s="7"/>
    </row>
    <row r="40" customFormat="false" ht="14.25" hidden="false" customHeight="false" outlineLevel="0" collapsed="false">
      <c r="F40" s="27" t="s">
        <v>135</v>
      </c>
      <c r="G40" s="28"/>
      <c r="H40" s="28"/>
    </row>
    <row r="41" customFormat="false" ht="14.25" hidden="false" customHeight="false" outlineLevel="0" collapsed="false">
      <c r="F41" s="27" t="s">
        <v>136</v>
      </c>
      <c r="G41" s="28"/>
      <c r="H41" s="28"/>
    </row>
    <row r="42" customFormat="false" ht="14.25" hidden="false" customHeight="false" outlineLevel="0" collapsed="false">
      <c r="F42" s="27" t="s">
        <v>137</v>
      </c>
      <c r="G42" s="28"/>
      <c r="H42" s="28"/>
    </row>
    <row r="43" customFormat="false" ht="14.25" hidden="false" customHeight="false" outlineLevel="0" collapsed="false">
      <c r="F43" s="27" t="s">
        <v>138</v>
      </c>
      <c r="G43" s="28"/>
      <c r="H43" s="28"/>
    </row>
    <row r="44" customFormat="false" ht="14.25" hidden="false" customHeight="false" outlineLevel="0" collapsed="false">
      <c r="F44" s="27" t="s">
        <v>139</v>
      </c>
      <c r="G44" s="28"/>
      <c r="H44" s="28"/>
    </row>
    <row r="45" customFormat="false" ht="14.25" hidden="false" customHeight="false" outlineLevel="0" collapsed="false">
      <c r="F45" s="27" t="s">
        <v>140</v>
      </c>
      <c r="G45" s="28"/>
      <c r="H45" s="28"/>
    </row>
    <row r="49" customFormat="false" ht="14.25" hidden="false" customHeight="false" outlineLevel="0" collapsed="false">
      <c r="B49" s="3" t="s">
        <v>141</v>
      </c>
    </row>
    <row r="50" customFormat="false" ht="27.75" hidden="false" customHeight="true" outlineLevel="0" collapsed="false">
      <c r="B50" s="7" t="s">
        <v>134</v>
      </c>
      <c r="C50" s="7" t="s">
        <v>142</v>
      </c>
      <c r="D50" s="7" t="s">
        <v>143</v>
      </c>
      <c r="E50" s="7"/>
      <c r="F50" s="7" t="s">
        <v>144</v>
      </c>
      <c r="G50" s="7" t="s">
        <v>145</v>
      </c>
    </row>
    <row r="51" customFormat="false" ht="30" hidden="false" customHeight="true" outlineLevel="0" collapsed="false">
      <c r="B51" s="29" t="s">
        <v>146</v>
      </c>
      <c r="C51" s="29" t="s">
        <v>147</v>
      </c>
      <c r="D51" s="24" t="s">
        <v>148</v>
      </c>
      <c r="E51" s="24"/>
      <c r="F51" s="30" t="s">
        <v>149</v>
      </c>
      <c r="G51" s="29" t="s">
        <v>150</v>
      </c>
      <c r="H51" s="29" t="s">
        <v>151</v>
      </c>
    </row>
    <row r="52" customFormat="false" ht="25.5" hidden="false" customHeight="true" outlineLevel="0" collapsed="false">
      <c r="B52" s="31"/>
      <c r="C52" s="31"/>
      <c r="D52" s="28"/>
      <c r="E52" s="28"/>
      <c r="F52" s="23"/>
      <c r="G52" s="23"/>
      <c r="H52" s="23"/>
    </row>
    <row r="53" customFormat="false" ht="25.5" hidden="false" customHeight="true" outlineLevel="0" collapsed="false">
      <c r="B53" s="31"/>
      <c r="C53" s="31"/>
      <c r="D53" s="28"/>
      <c r="E53" s="28"/>
      <c r="F53" s="23"/>
      <c r="G53" s="23"/>
      <c r="H53" s="23"/>
    </row>
    <row r="54" customFormat="false" ht="25.5" hidden="false" customHeight="true" outlineLevel="0" collapsed="false">
      <c r="B54" s="31"/>
      <c r="C54" s="31"/>
      <c r="D54" s="28"/>
      <c r="E54" s="28"/>
      <c r="F54" s="23"/>
      <c r="G54" s="23"/>
      <c r="H54" s="23"/>
    </row>
    <row r="55" customFormat="false" ht="25.5" hidden="false" customHeight="true" outlineLevel="0" collapsed="false">
      <c r="B55" s="31"/>
      <c r="C55" s="31"/>
      <c r="D55" s="28"/>
      <c r="E55" s="28"/>
      <c r="F55" s="23"/>
      <c r="G55" s="23"/>
      <c r="H55" s="23"/>
    </row>
    <row r="56" customFormat="false" ht="25.5" hidden="false" customHeight="true" outlineLevel="0" collapsed="false">
      <c r="B56" s="31"/>
      <c r="C56" s="31"/>
      <c r="D56" s="28"/>
      <c r="E56" s="28"/>
      <c r="F56" s="23"/>
      <c r="G56" s="23"/>
      <c r="H56" s="23"/>
    </row>
    <row r="57" customFormat="false" ht="25.5" hidden="false" customHeight="true" outlineLevel="0" collapsed="false">
      <c r="B57" s="31"/>
      <c r="C57" s="31"/>
      <c r="D57" s="28"/>
      <c r="E57" s="28"/>
      <c r="F57" s="23"/>
      <c r="G57" s="23"/>
      <c r="H57" s="23"/>
    </row>
    <row r="59" customFormat="false" ht="21.75" hidden="false" customHeight="true" outlineLevel="0" collapsed="false">
      <c r="A59" s="20" t="s">
        <v>152</v>
      </c>
      <c r="B59" s="20"/>
      <c r="C59" s="20"/>
      <c r="D59" s="20"/>
      <c r="E59" s="20"/>
      <c r="F59" s="20"/>
      <c r="G59" s="20"/>
      <c r="H59" s="20"/>
    </row>
    <row r="60" customFormat="false" ht="27.75" hidden="false" customHeight="true" outlineLevel="0" collapsed="false">
      <c r="B60" s="7" t="s">
        <v>153</v>
      </c>
      <c r="C60" s="7" t="s">
        <v>154</v>
      </c>
      <c r="D60" s="7" t="s">
        <v>155</v>
      </c>
      <c r="E60" s="7" t="s">
        <v>156</v>
      </c>
      <c r="F60" s="7" t="s">
        <v>157</v>
      </c>
      <c r="G60" s="7"/>
      <c r="H60" s="7"/>
    </row>
    <row r="61" customFormat="false" ht="30" hidden="false" customHeight="true" outlineLevel="0" collapsed="false">
      <c r="B61" s="23"/>
      <c r="C61" s="23"/>
      <c r="D61" s="31"/>
      <c r="E61" s="31"/>
      <c r="F61" s="28"/>
      <c r="G61" s="28"/>
      <c r="H61" s="28"/>
    </row>
    <row r="62" customFormat="false" ht="30" hidden="false" customHeight="true" outlineLevel="0" collapsed="false">
      <c r="B62" s="23"/>
      <c r="C62" s="23"/>
      <c r="D62" s="31"/>
      <c r="E62" s="31"/>
      <c r="F62" s="28"/>
      <c r="G62" s="28"/>
      <c r="H62" s="28"/>
    </row>
    <row r="63" customFormat="false" ht="30" hidden="false" customHeight="true" outlineLevel="0" collapsed="false">
      <c r="B63" s="23"/>
      <c r="C63" s="23"/>
      <c r="D63" s="31"/>
      <c r="E63" s="31"/>
      <c r="F63" s="28"/>
      <c r="G63" s="28"/>
      <c r="H63" s="28"/>
    </row>
    <row r="64" customFormat="false" ht="30" hidden="false" customHeight="true" outlineLevel="0" collapsed="false">
      <c r="B64" s="23"/>
      <c r="C64" s="23"/>
      <c r="D64" s="31"/>
      <c r="E64" s="31"/>
      <c r="F64" s="28"/>
      <c r="G64" s="28"/>
      <c r="H64" s="28"/>
    </row>
    <row r="66" customFormat="false" ht="21.75" hidden="false" customHeight="true" outlineLevel="0" collapsed="false">
      <c r="A66" s="20" t="s">
        <v>158</v>
      </c>
      <c r="B66" s="20"/>
      <c r="C66" s="20"/>
      <c r="D66" s="20"/>
      <c r="E66" s="20"/>
      <c r="F66" s="20"/>
      <c r="G66" s="20"/>
      <c r="H66" s="20"/>
    </row>
    <row r="67" customFormat="false" ht="27.75" hidden="false" customHeight="true" outlineLevel="0" collapsed="false">
      <c r="B67" s="7" t="s">
        <v>159</v>
      </c>
      <c r="C67" s="7" t="s">
        <v>160</v>
      </c>
      <c r="D67" s="7" t="s">
        <v>161</v>
      </c>
      <c r="E67" s="7"/>
      <c r="F67" s="7" t="s">
        <v>162</v>
      </c>
      <c r="G67" s="7" t="s">
        <v>163</v>
      </c>
    </row>
    <row r="68" customFormat="false" ht="30" hidden="false" customHeight="true" outlineLevel="0" collapsed="false">
      <c r="B68" s="8" t="s">
        <v>164</v>
      </c>
      <c r="C68" s="9" t="s">
        <v>165</v>
      </c>
      <c r="D68" s="28"/>
      <c r="E68" s="28"/>
      <c r="F68" s="31"/>
      <c r="G68" s="31"/>
      <c r="H68" s="31"/>
    </row>
    <row r="69" customFormat="false" ht="30" hidden="false" customHeight="true" outlineLevel="0" collapsed="false">
      <c r="B69" s="8" t="s">
        <v>166</v>
      </c>
      <c r="C69" s="9" t="s">
        <v>167</v>
      </c>
      <c r="D69" s="28"/>
      <c r="E69" s="28"/>
      <c r="F69" s="31"/>
      <c r="G69" s="31"/>
      <c r="H69" s="31"/>
    </row>
    <row r="70" customFormat="false" ht="30" hidden="false" customHeight="true" outlineLevel="0" collapsed="false">
      <c r="B70" s="8" t="s">
        <v>168</v>
      </c>
      <c r="C70" s="9" t="s">
        <v>169</v>
      </c>
      <c r="D70" s="28"/>
      <c r="E70" s="28"/>
      <c r="F70" s="31"/>
      <c r="G70" s="31"/>
      <c r="H70" s="31"/>
    </row>
    <row r="71" customFormat="false" ht="30" hidden="false" customHeight="true" outlineLevel="0" collapsed="false">
      <c r="B71" s="8" t="s">
        <v>170</v>
      </c>
      <c r="C71" s="9" t="s">
        <v>171</v>
      </c>
      <c r="D71" s="28"/>
      <c r="E71" s="28"/>
      <c r="F71" s="31"/>
      <c r="G71" s="31"/>
      <c r="H71" s="31"/>
    </row>
    <row r="73" customFormat="false" ht="21.75" hidden="false" customHeight="true" outlineLevel="0" collapsed="false">
      <c r="A73" s="20" t="s">
        <v>172</v>
      </c>
      <c r="B73" s="20"/>
      <c r="C73" s="20"/>
      <c r="D73" s="20"/>
      <c r="E73" s="20"/>
      <c r="F73" s="20"/>
      <c r="G73" s="20"/>
      <c r="H73" s="20"/>
    </row>
    <row r="74" customFormat="false" ht="27.75" hidden="false" customHeight="true" outlineLevel="0" collapsed="false">
      <c r="B74" s="7" t="s">
        <v>173</v>
      </c>
      <c r="C74" s="7"/>
      <c r="D74" s="7"/>
      <c r="E74" s="7"/>
      <c r="F74" s="7"/>
      <c r="G74" s="7" t="s">
        <v>174</v>
      </c>
      <c r="H74" s="7" t="s">
        <v>175</v>
      </c>
    </row>
    <row r="75" customFormat="false" ht="24" hidden="false" customHeight="true" outlineLevel="0" collapsed="false">
      <c r="B75" s="9" t="s">
        <v>176</v>
      </c>
      <c r="C75" s="9"/>
      <c r="D75" s="9"/>
      <c r="E75" s="9"/>
      <c r="F75" s="9"/>
      <c r="G75" s="27" t="n">
        <v>4</v>
      </c>
      <c r="H75" s="31"/>
    </row>
    <row r="76" customFormat="false" ht="24" hidden="false" customHeight="true" outlineLevel="0" collapsed="false">
      <c r="B76" s="9" t="s">
        <v>177</v>
      </c>
      <c r="C76" s="9"/>
      <c r="D76" s="9"/>
      <c r="E76" s="9"/>
      <c r="F76" s="9"/>
      <c r="G76" s="27" t="n">
        <v>3</v>
      </c>
      <c r="H76" s="31"/>
    </row>
    <row r="77" customFormat="false" ht="24" hidden="false" customHeight="true" outlineLevel="0" collapsed="false">
      <c r="B77" s="9" t="s">
        <v>178</v>
      </c>
      <c r="C77" s="9"/>
      <c r="D77" s="9"/>
      <c r="E77" s="9"/>
      <c r="F77" s="9"/>
      <c r="G77" s="27" t="n">
        <v>5</v>
      </c>
      <c r="H77" s="31"/>
    </row>
    <row r="78" customFormat="false" ht="24" hidden="false" customHeight="true" outlineLevel="0" collapsed="false">
      <c r="B78" s="9" t="s">
        <v>179</v>
      </c>
      <c r="C78" s="9"/>
      <c r="D78" s="9"/>
      <c r="E78" s="9"/>
      <c r="F78" s="9"/>
      <c r="G78" s="27" t="n">
        <v>4</v>
      </c>
      <c r="H78" s="31"/>
    </row>
    <row r="79" customFormat="false" ht="24" hidden="false" customHeight="true" outlineLevel="0" collapsed="false">
      <c r="B79" s="9" t="s">
        <v>180</v>
      </c>
      <c r="C79" s="9"/>
      <c r="D79" s="9"/>
      <c r="E79" s="9"/>
      <c r="F79" s="9"/>
      <c r="G79" s="27" t="n">
        <v>2</v>
      </c>
      <c r="H79" s="31"/>
    </row>
    <row r="80" customFormat="false" ht="24" hidden="false" customHeight="true" outlineLevel="0" collapsed="false">
      <c r="B80" s="9" t="s">
        <v>181</v>
      </c>
      <c r="C80" s="9"/>
      <c r="D80" s="9"/>
      <c r="E80" s="9"/>
      <c r="F80" s="9"/>
      <c r="G80" s="27" t="n">
        <v>2</v>
      </c>
      <c r="H80" s="31"/>
    </row>
    <row r="81" customFormat="false" ht="14.25" hidden="false" customHeight="false" outlineLevel="0" collapsed="false">
      <c r="B81" s="32" t="s">
        <v>182</v>
      </c>
      <c r="C81" s="32"/>
      <c r="D81" s="32"/>
      <c r="E81" s="32"/>
      <c r="F81" s="32"/>
      <c r="G81" s="15" t="n">
        <f aca="false">SUM(G75:G80)</f>
        <v>20</v>
      </c>
      <c r="H81" s="15" t="n">
        <f aca="false">SUM(H75:H80)</f>
        <v>0</v>
      </c>
    </row>
  </sheetData>
  <mergeCells count="61">
    <mergeCell ref="A1:H1"/>
    <mergeCell ref="A2:H2"/>
    <mergeCell ref="A4:H4"/>
    <mergeCell ref="C5:H5"/>
    <mergeCell ref="C6:H6"/>
    <mergeCell ref="C7:H7"/>
    <mergeCell ref="C8:H8"/>
    <mergeCell ref="A10:H10"/>
    <mergeCell ref="D11:H11"/>
    <mergeCell ref="D12:H12"/>
    <mergeCell ref="D13:H13"/>
    <mergeCell ref="D14:H14"/>
    <mergeCell ref="A15:H15"/>
    <mergeCell ref="A17:H17"/>
    <mergeCell ref="F18:H18"/>
    <mergeCell ref="F19:H19"/>
    <mergeCell ref="F20:H20"/>
    <mergeCell ref="F21:H21"/>
    <mergeCell ref="F22:H22"/>
    <mergeCell ref="F23:H23"/>
    <mergeCell ref="C31:H31"/>
    <mergeCell ref="C32:H32"/>
    <mergeCell ref="A34:H34"/>
    <mergeCell ref="F35:H35"/>
    <mergeCell ref="F36:H36"/>
    <mergeCell ref="G39:H39"/>
    <mergeCell ref="G40:H40"/>
    <mergeCell ref="G41:H41"/>
    <mergeCell ref="G42:H42"/>
    <mergeCell ref="G43:H43"/>
    <mergeCell ref="G44:H44"/>
    <mergeCell ref="G45:H45"/>
    <mergeCell ref="D50:E50"/>
    <mergeCell ref="D51:E51"/>
    <mergeCell ref="D52:E52"/>
    <mergeCell ref="D53:E53"/>
    <mergeCell ref="D54:E54"/>
    <mergeCell ref="D55:E55"/>
    <mergeCell ref="D56:E56"/>
    <mergeCell ref="D57:E57"/>
    <mergeCell ref="A59:H59"/>
    <mergeCell ref="F60:H60"/>
    <mergeCell ref="F61:H61"/>
    <mergeCell ref="F62:H62"/>
    <mergeCell ref="F63:H63"/>
    <mergeCell ref="F64:H64"/>
    <mergeCell ref="A66:H66"/>
    <mergeCell ref="D67:E67"/>
    <mergeCell ref="D68:E68"/>
    <mergeCell ref="D69:E69"/>
    <mergeCell ref="D70:E70"/>
    <mergeCell ref="D71:E71"/>
    <mergeCell ref="A73:H73"/>
    <mergeCell ref="B74:F74"/>
    <mergeCell ref="B75:F75"/>
    <mergeCell ref="B76:F76"/>
    <mergeCell ref="B77:F77"/>
    <mergeCell ref="B78:F78"/>
    <mergeCell ref="B79:F79"/>
    <mergeCell ref="B80:F80"/>
    <mergeCell ref="B81:F81"/>
  </mergeCells>
  <dataValidations count="2">
    <dataValidation allowBlank="true" error="Choisir dans la liste" errorStyle="stop" operator="between" showDropDown="false" showErrorMessage="false" showInputMessage="false" sqref="C52:C57" type="list">
      <formula1>"FP,FC"</formula1>
      <formula2>0</formula2>
    </dataValidation>
    <dataValidation allowBlank="true" error="Choisir dans la liste" errorStyle="stop" operator="between" showDropDown="false" showErrorMessage="false" showInputMessage="false" sqref="F68:H71" type="list">
      <formula1>"x,"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&amp;R&amp;8 &amp;K888888&amp;A  ·  page 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8AD0"/>
    <pageSetUpPr fitToPage="true"/>
  </sheetPr>
  <dimension ref="A1:H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5" min="3" style="0" width="22"/>
    <col collapsed="false" customWidth="true" hidden="false" outlineLevel="0" max="6" min="6" style="0" width="20"/>
    <col collapsed="false" customWidth="true" hidden="false" outlineLevel="0" max="8" min="7" style="0" width="12"/>
  </cols>
  <sheetData>
    <row r="1" customFormat="false" ht="30" hidden="false" customHeight="true" outlineLevel="0" collapsed="false">
      <c r="A1" s="1" t="s">
        <v>183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6" t="s">
        <v>112</v>
      </c>
      <c r="B2" s="6"/>
      <c r="C2" s="6"/>
      <c r="D2" s="6"/>
      <c r="E2" s="6"/>
      <c r="F2" s="6"/>
      <c r="G2" s="6"/>
      <c r="H2" s="6"/>
    </row>
    <row r="4" customFormat="false" ht="21.75" hidden="false" customHeight="true" outlineLevel="0" collapsed="false">
      <c r="A4" s="20" t="s">
        <v>113</v>
      </c>
      <c r="B4" s="20"/>
      <c r="C4" s="20"/>
      <c r="D4" s="20"/>
      <c r="E4" s="20"/>
      <c r="F4" s="20"/>
      <c r="G4" s="20"/>
      <c r="H4" s="20"/>
    </row>
    <row r="5" customFormat="false" ht="33" hidden="false" customHeight="true" outlineLevel="0" collapsed="false">
      <c r="B5" s="21" t="s">
        <v>23</v>
      </c>
      <c r="C5" s="22" t="s">
        <v>34</v>
      </c>
      <c r="D5" s="22"/>
      <c r="E5" s="22"/>
      <c r="F5" s="22"/>
      <c r="G5" s="22"/>
      <c r="H5" s="22"/>
    </row>
    <row r="6" customFormat="false" ht="33" hidden="false" customHeight="true" outlineLevel="0" collapsed="false">
      <c r="B6" s="21" t="s">
        <v>24</v>
      </c>
      <c r="C6" s="22" t="s">
        <v>35</v>
      </c>
      <c r="D6" s="22"/>
      <c r="E6" s="22"/>
      <c r="F6" s="22"/>
      <c r="G6" s="22"/>
      <c r="H6" s="22"/>
    </row>
    <row r="7" customFormat="false" ht="33" hidden="false" customHeight="true" outlineLevel="0" collapsed="false">
      <c r="B7" s="21" t="s">
        <v>25</v>
      </c>
      <c r="C7" s="22" t="s">
        <v>36</v>
      </c>
      <c r="D7" s="22"/>
      <c r="E7" s="22"/>
      <c r="F7" s="22"/>
      <c r="G7" s="22"/>
      <c r="H7" s="22"/>
    </row>
    <row r="8" customFormat="false" ht="33" hidden="false" customHeight="true" outlineLevel="0" collapsed="false">
      <c r="B8" s="21" t="s">
        <v>26</v>
      </c>
      <c r="C8" s="22" t="s">
        <v>37</v>
      </c>
      <c r="D8" s="22"/>
      <c r="E8" s="22"/>
      <c r="F8" s="22"/>
      <c r="G8" s="22"/>
      <c r="H8" s="22"/>
    </row>
    <row r="10" customFormat="false" ht="21.75" hidden="false" customHeight="true" outlineLevel="0" collapsed="false">
      <c r="A10" s="20" t="s">
        <v>114</v>
      </c>
      <c r="B10" s="20"/>
      <c r="C10" s="20"/>
      <c r="D10" s="20"/>
      <c r="E10" s="20"/>
      <c r="F10" s="20"/>
      <c r="G10" s="20"/>
      <c r="H10" s="20"/>
    </row>
    <row r="11" customFormat="false" ht="27.75" hidden="false" customHeight="true" outlineLevel="0" collapsed="false">
      <c r="B11" s="7" t="s">
        <v>115</v>
      </c>
      <c r="C11" s="7" t="s">
        <v>116</v>
      </c>
      <c r="D11" s="7" t="s">
        <v>117</v>
      </c>
      <c r="E11" s="7"/>
      <c r="F11" s="7"/>
      <c r="G11" s="7"/>
      <c r="H11" s="7"/>
    </row>
    <row r="12" customFormat="false" ht="25.5" hidden="false" customHeight="true" outlineLevel="0" collapsed="false">
      <c r="B12" s="8" t="s">
        <v>118</v>
      </c>
      <c r="C12" s="23"/>
      <c r="D12" s="24" t="s">
        <v>119</v>
      </c>
      <c r="E12" s="24"/>
      <c r="F12" s="24"/>
      <c r="G12" s="24"/>
      <c r="H12" s="24"/>
    </row>
    <row r="13" customFormat="false" ht="25.5" hidden="false" customHeight="true" outlineLevel="0" collapsed="false">
      <c r="B13" s="8" t="s">
        <v>120</v>
      </c>
      <c r="C13" s="23"/>
      <c r="D13" s="24" t="s">
        <v>121</v>
      </c>
      <c r="E13" s="24"/>
      <c r="F13" s="24"/>
      <c r="G13" s="24"/>
      <c r="H13" s="24"/>
    </row>
    <row r="14" customFormat="false" ht="25.5" hidden="false" customHeight="true" outlineLevel="0" collapsed="false">
      <c r="B14" s="8" t="s">
        <v>122</v>
      </c>
      <c r="C14" s="23"/>
      <c r="D14" s="24" t="s">
        <v>123</v>
      </c>
      <c r="E14" s="24"/>
      <c r="F14" s="24"/>
      <c r="G14" s="24"/>
      <c r="H14" s="24"/>
    </row>
    <row r="15" customFormat="false" ht="15" hidden="false" customHeight="true" outlineLevel="0" collapsed="false">
      <c r="A15" s="12" t="s">
        <v>124</v>
      </c>
      <c r="B15" s="12"/>
      <c r="C15" s="12"/>
      <c r="D15" s="12"/>
      <c r="E15" s="12"/>
      <c r="F15" s="12"/>
      <c r="G15" s="12"/>
      <c r="H15" s="12"/>
    </row>
    <row r="17" customFormat="false" ht="21.75" hidden="false" customHeight="true" outlineLevel="0" collapsed="false">
      <c r="A17" s="20" t="s">
        <v>125</v>
      </c>
      <c r="B17" s="20"/>
      <c r="C17" s="20"/>
      <c r="D17" s="20"/>
      <c r="E17" s="20"/>
      <c r="F17" s="20"/>
      <c r="G17" s="20"/>
      <c r="H17" s="20"/>
    </row>
    <row r="18" customFormat="false" ht="15" hidden="false" customHeight="true" outlineLevel="0" collapsed="false">
      <c r="F18" s="10" t="s">
        <v>126</v>
      </c>
      <c r="G18" s="10"/>
      <c r="H18" s="10"/>
    </row>
    <row r="19" customFormat="false" ht="25.5" hidden="false" customHeight="true" outlineLevel="0" collapsed="false">
      <c r="F19" s="25"/>
      <c r="G19" s="25"/>
      <c r="H19" s="25"/>
    </row>
    <row r="20" customFormat="false" ht="15" hidden="false" customHeight="true" outlineLevel="0" collapsed="false">
      <c r="F20" s="10" t="s">
        <v>127</v>
      </c>
      <c r="G20" s="10"/>
      <c r="H20" s="10"/>
    </row>
    <row r="21" customFormat="false" ht="25.5" hidden="false" customHeight="true" outlineLevel="0" collapsed="false">
      <c r="F21" s="25"/>
      <c r="G21" s="25"/>
      <c r="H21" s="25"/>
    </row>
    <row r="22" customFormat="false" ht="15" hidden="false" customHeight="true" outlineLevel="0" collapsed="false">
      <c r="F22" s="10" t="s">
        <v>128</v>
      </c>
      <c r="G22" s="10"/>
      <c r="H22" s="10"/>
    </row>
    <row r="23" customFormat="false" ht="25.5" hidden="false" customHeight="true" outlineLevel="0" collapsed="false">
      <c r="F23" s="25"/>
      <c r="G23" s="25"/>
      <c r="H23" s="25"/>
    </row>
    <row r="31" customFormat="false" ht="24" hidden="false" customHeight="true" outlineLevel="0" collapsed="false">
      <c r="B31" s="21" t="s">
        <v>129</v>
      </c>
      <c r="C31" s="25"/>
      <c r="D31" s="25"/>
      <c r="E31" s="25"/>
      <c r="F31" s="25"/>
      <c r="G31" s="25"/>
      <c r="H31" s="25"/>
    </row>
    <row r="32" customFormat="false" ht="24" hidden="false" customHeight="true" outlineLevel="0" collapsed="false">
      <c r="B32" s="21" t="s">
        <v>130</v>
      </c>
      <c r="C32" s="25"/>
      <c r="D32" s="25"/>
      <c r="E32" s="25"/>
      <c r="F32" s="25"/>
      <c r="G32" s="25"/>
      <c r="H32" s="25"/>
    </row>
    <row r="34" customFormat="false" ht="21.75" hidden="false" customHeight="true" outlineLevel="0" collapsed="false">
      <c r="A34" s="20" t="s">
        <v>131</v>
      </c>
      <c r="B34" s="20"/>
      <c r="C34" s="20"/>
      <c r="D34" s="20"/>
      <c r="E34" s="20"/>
      <c r="F34" s="20"/>
      <c r="G34" s="20"/>
      <c r="H34" s="20"/>
    </row>
    <row r="35" customFormat="false" ht="14.25" hidden="false" customHeight="false" outlineLevel="0" collapsed="false">
      <c r="F35" s="26" t="s">
        <v>132</v>
      </c>
      <c r="G35" s="26"/>
      <c r="H35" s="26"/>
    </row>
    <row r="36" customFormat="false" ht="24" hidden="false" customHeight="true" outlineLevel="0" collapsed="false">
      <c r="F36" s="25"/>
      <c r="G36" s="25"/>
      <c r="H36" s="25"/>
    </row>
    <row r="38" customFormat="false" ht="14.25" hidden="false" customHeight="false" outlineLevel="0" collapsed="false">
      <c r="F38" s="3" t="s">
        <v>133</v>
      </c>
    </row>
    <row r="39" customFormat="false" ht="27.75" hidden="false" customHeight="true" outlineLevel="0" collapsed="false">
      <c r="F39" s="7" t="s">
        <v>134</v>
      </c>
      <c r="G39" s="7" t="s">
        <v>60</v>
      </c>
      <c r="H39" s="7"/>
    </row>
    <row r="40" customFormat="false" ht="14.25" hidden="false" customHeight="false" outlineLevel="0" collapsed="false">
      <c r="F40" s="27" t="s">
        <v>135</v>
      </c>
      <c r="G40" s="28"/>
      <c r="H40" s="28"/>
    </row>
    <row r="41" customFormat="false" ht="14.25" hidden="false" customHeight="false" outlineLevel="0" collapsed="false">
      <c r="F41" s="27" t="s">
        <v>136</v>
      </c>
      <c r="G41" s="28"/>
      <c r="H41" s="28"/>
    </row>
    <row r="42" customFormat="false" ht="14.25" hidden="false" customHeight="false" outlineLevel="0" collapsed="false">
      <c r="F42" s="27" t="s">
        <v>137</v>
      </c>
      <c r="G42" s="28"/>
      <c r="H42" s="28"/>
    </row>
    <row r="43" customFormat="false" ht="14.25" hidden="false" customHeight="false" outlineLevel="0" collapsed="false">
      <c r="F43" s="27" t="s">
        <v>138</v>
      </c>
      <c r="G43" s="28"/>
      <c r="H43" s="28"/>
    </row>
    <row r="44" customFormat="false" ht="14.25" hidden="false" customHeight="false" outlineLevel="0" collapsed="false">
      <c r="F44" s="27" t="s">
        <v>139</v>
      </c>
      <c r="G44" s="28"/>
      <c r="H44" s="28"/>
    </row>
    <row r="45" customFormat="false" ht="14.25" hidden="false" customHeight="false" outlineLevel="0" collapsed="false">
      <c r="F45" s="27" t="s">
        <v>140</v>
      </c>
      <c r="G45" s="28"/>
      <c r="H45" s="28"/>
    </row>
    <row r="49" customFormat="false" ht="14.25" hidden="false" customHeight="false" outlineLevel="0" collapsed="false">
      <c r="B49" s="3" t="s">
        <v>141</v>
      </c>
    </row>
    <row r="50" customFormat="false" ht="27.75" hidden="false" customHeight="true" outlineLevel="0" collapsed="false">
      <c r="B50" s="7" t="s">
        <v>134</v>
      </c>
      <c r="C50" s="7" t="s">
        <v>142</v>
      </c>
      <c r="D50" s="7" t="s">
        <v>143</v>
      </c>
      <c r="E50" s="7"/>
      <c r="F50" s="7" t="s">
        <v>144</v>
      </c>
      <c r="G50" s="7" t="s">
        <v>145</v>
      </c>
    </row>
    <row r="51" customFormat="false" ht="30" hidden="false" customHeight="true" outlineLevel="0" collapsed="false">
      <c r="B51" s="29" t="s">
        <v>146</v>
      </c>
      <c r="C51" s="29" t="s">
        <v>147</v>
      </c>
      <c r="D51" s="24" t="s">
        <v>148</v>
      </c>
      <c r="E51" s="24"/>
      <c r="F51" s="30" t="s">
        <v>149</v>
      </c>
      <c r="G51" s="29" t="s">
        <v>150</v>
      </c>
      <c r="H51" s="29" t="s">
        <v>151</v>
      </c>
    </row>
    <row r="52" customFormat="false" ht="25.5" hidden="false" customHeight="true" outlineLevel="0" collapsed="false">
      <c r="B52" s="31"/>
      <c r="C52" s="31"/>
      <c r="D52" s="28"/>
      <c r="E52" s="28"/>
      <c r="F52" s="23"/>
      <c r="G52" s="23"/>
      <c r="H52" s="23"/>
    </row>
    <row r="53" customFormat="false" ht="25.5" hidden="false" customHeight="true" outlineLevel="0" collapsed="false">
      <c r="B53" s="31"/>
      <c r="C53" s="31"/>
      <c r="D53" s="28"/>
      <c r="E53" s="28"/>
      <c r="F53" s="23"/>
      <c r="G53" s="23"/>
      <c r="H53" s="23"/>
    </row>
    <row r="54" customFormat="false" ht="25.5" hidden="false" customHeight="true" outlineLevel="0" collapsed="false">
      <c r="B54" s="31"/>
      <c r="C54" s="31"/>
      <c r="D54" s="28"/>
      <c r="E54" s="28"/>
      <c r="F54" s="23"/>
      <c r="G54" s="23"/>
      <c r="H54" s="23"/>
    </row>
    <row r="55" customFormat="false" ht="25.5" hidden="false" customHeight="true" outlineLevel="0" collapsed="false">
      <c r="B55" s="31"/>
      <c r="C55" s="31"/>
      <c r="D55" s="28"/>
      <c r="E55" s="28"/>
      <c r="F55" s="23"/>
      <c r="G55" s="23"/>
      <c r="H55" s="23"/>
    </row>
    <row r="56" customFormat="false" ht="25.5" hidden="false" customHeight="true" outlineLevel="0" collapsed="false">
      <c r="B56" s="31"/>
      <c r="C56" s="31"/>
      <c r="D56" s="28"/>
      <c r="E56" s="28"/>
      <c r="F56" s="23"/>
      <c r="G56" s="23"/>
      <c r="H56" s="23"/>
    </row>
    <row r="57" customFormat="false" ht="25.5" hidden="false" customHeight="true" outlineLevel="0" collapsed="false">
      <c r="B57" s="31"/>
      <c r="C57" s="31"/>
      <c r="D57" s="28"/>
      <c r="E57" s="28"/>
      <c r="F57" s="23"/>
      <c r="G57" s="23"/>
      <c r="H57" s="23"/>
    </row>
    <row r="59" customFormat="false" ht="21.75" hidden="false" customHeight="true" outlineLevel="0" collapsed="false">
      <c r="A59" s="20" t="s">
        <v>152</v>
      </c>
      <c r="B59" s="20"/>
      <c r="C59" s="20"/>
      <c r="D59" s="20"/>
      <c r="E59" s="20"/>
      <c r="F59" s="20"/>
      <c r="G59" s="20"/>
      <c r="H59" s="20"/>
    </row>
    <row r="60" customFormat="false" ht="27.75" hidden="false" customHeight="true" outlineLevel="0" collapsed="false">
      <c r="B60" s="7" t="s">
        <v>153</v>
      </c>
      <c r="C60" s="7" t="s">
        <v>154</v>
      </c>
      <c r="D60" s="7" t="s">
        <v>155</v>
      </c>
      <c r="E60" s="7" t="s">
        <v>156</v>
      </c>
      <c r="F60" s="7" t="s">
        <v>157</v>
      </c>
      <c r="G60" s="7"/>
      <c r="H60" s="7"/>
    </row>
    <row r="61" customFormat="false" ht="30" hidden="false" customHeight="true" outlineLevel="0" collapsed="false">
      <c r="B61" s="23"/>
      <c r="C61" s="23"/>
      <c r="D61" s="31"/>
      <c r="E61" s="31"/>
      <c r="F61" s="28"/>
      <c r="G61" s="28"/>
      <c r="H61" s="28"/>
    </row>
    <row r="62" customFormat="false" ht="30" hidden="false" customHeight="true" outlineLevel="0" collapsed="false">
      <c r="B62" s="23"/>
      <c r="C62" s="23"/>
      <c r="D62" s="31"/>
      <c r="E62" s="31"/>
      <c r="F62" s="28"/>
      <c r="G62" s="28"/>
      <c r="H62" s="28"/>
    </row>
    <row r="63" customFormat="false" ht="30" hidden="false" customHeight="true" outlineLevel="0" collapsed="false">
      <c r="B63" s="23"/>
      <c r="C63" s="23"/>
      <c r="D63" s="31"/>
      <c r="E63" s="31"/>
      <c r="F63" s="28"/>
      <c r="G63" s="28"/>
      <c r="H63" s="28"/>
    </row>
    <row r="64" customFormat="false" ht="30" hidden="false" customHeight="true" outlineLevel="0" collapsed="false">
      <c r="B64" s="23"/>
      <c r="C64" s="23"/>
      <c r="D64" s="31"/>
      <c r="E64" s="31"/>
      <c r="F64" s="28"/>
      <c r="G64" s="28"/>
      <c r="H64" s="28"/>
    </row>
    <row r="66" customFormat="false" ht="21.75" hidden="false" customHeight="true" outlineLevel="0" collapsed="false">
      <c r="A66" s="20" t="s">
        <v>158</v>
      </c>
      <c r="B66" s="20"/>
      <c r="C66" s="20"/>
      <c r="D66" s="20"/>
      <c r="E66" s="20"/>
      <c r="F66" s="20"/>
      <c r="G66" s="20"/>
      <c r="H66" s="20"/>
    </row>
    <row r="67" customFormat="false" ht="27.75" hidden="false" customHeight="true" outlineLevel="0" collapsed="false">
      <c r="B67" s="7" t="s">
        <v>159</v>
      </c>
      <c r="C67" s="7" t="s">
        <v>160</v>
      </c>
      <c r="D67" s="7" t="s">
        <v>161</v>
      </c>
      <c r="E67" s="7"/>
      <c r="F67" s="7" t="s">
        <v>162</v>
      </c>
      <c r="G67" s="7" t="s">
        <v>163</v>
      </c>
    </row>
    <row r="68" customFormat="false" ht="30" hidden="false" customHeight="true" outlineLevel="0" collapsed="false">
      <c r="B68" s="8" t="s">
        <v>164</v>
      </c>
      <c r="C68" s="9" t="s">
        <v>165</v>
      </c>
      <c r="D68" s="28"/>
      <c r="E68" s="28"/>
      <c r="F68" s="31"/>
      <c r="G68" s="31"/>
      <c r="H68" s="31"/>
    </row>
    <row r="69" customFormat="false" ht="30" hidden="false" customHeight="true" outlineLevel="0" collapsed="false">
      <c r="B69" s="8" t="s">
        <v>166</v>
      </c>
      <c r="C69" s="9" t="s">
        <v>167</v>
      </c>
      <c r="D69" s="28"/>
      <c r="E69" s="28"/>
      <c r="F69" s="31"/>
      <c r="G69" s="31"/>
      <c r="H69" s="31"/>
    </row>
    <row r="70" customFormat="false" ht="30" hidden="false" customHeight="true" outlineLevel="0" collapsed="false">
      <c r="B70" s="8" t="s">
        <v>168</v>
      </c>
      <c r="C70" s="9" t="s">
        <v>169</v>
      </c>
      <c r="D70" s="28"/>
      <c r="E70" s="28"/>
      <c r="F70" s="31"/>
      <c r="G70" s="31"/>
      <c r="H70" s="31"/>
    </row>
    <row r="71" customFormat="false" ht="30" hidden="false" customHeight="true" outlineLevel="0" collapsed="false">
      <c r="B71" s="8" t="s">
        <v>170</v>
      </c>
      <c r="C71" s="9" t="s">
        <v>171</v>
      </c>
      <c r="D71" s="28"/>
      <c r="E71" s="28"/>
      <c r="F71" s="31"/>
      <c r="G71" s="31"/>
      <c r="H71" s="31"/>
    </row>
    <row r="73" customFormat="false" ht="21.75" hidden="false" customHeight="true" outlineLevel="0" collapsed="false">
      <c r="A73" s="20" t="s">
        <v>172</v>
      </c>
      <c r="B73" s="20"/>
      <c r="C73" s="20"/>
      <c r="D73" s="20"/>
      <c r="E73" s="20"/>
      <c r="F73" s="20"/>
      <c r="G73" s="20"/>
      <c r="H73" s="20"/>
    </row>
    <row r="74" customFormat="false" ht="27.75" hidden="false" customHeight="true" outlineLevel="0" collapsed="false">
      <c r="B74" s="7" t="s">
        <v>173</v>
      </c>
      <c r="C74" s="7"/>
      <c r="D74" s="7"/>
      <c r="E74" s="7"/>
      <c r="F74" s="7"/>
      <c r="G74" s="7" t="s">
        <v>174</v>
      </c>
      <c r="H74" s="7" t="s">
        <v>175</v>
      </c>
    </row>
    <row r="75" customFormat="false" ht="24" hidden="false" customHeight="true" outlineLevel="0" collapsed="false">
      <c r="B75" s="9" t="s">
        <v>176</v>
      </c>
      <c r="C75" s="9"/>
      <c r="D75" s="9"/>
      <c r="E75" s="9"/>
      <c r="F75" s="9"/>
      <c r="G75" s="27" t="n">
        <v>4</v>
      </c>
      <c r="H75" s="31"/>
    </row>
    <row r="76" customFormat="false" ht="24" hidden="false" customHeight="true" outlineLevel="0" collapsed="false">
      <c r="B76" s="9" t="s">
        <v>177</v>
      </c>
      <c r="C76" s="9"/>
      <c r="D76" s="9"/>
      <c r="E76" s="9"/>
      <c r="F76" s="9"/>
      <c r="G76" s="27" t="n">
        <v>3</v>
      </c>
      <c r="H76" s="31"/>
    </row>
    <row r="77" customFormat="false" ht="24" hidden="false" customHeight="true" outlineLevel="0" collapsed="false">
      <c r="B77" s="9" t="s">
        <v>178</v>
      </c>
      <c r="C77" s="9"/>
      <c r="D77" s="9"/>
      <c r="E77" s="9"/>
      <c r="F77" s="9"/>
      <c r="G77" s="27" t="n">
        <v>5</v>
      </c>
      <c r="H77" s="31"/>
    </row>
    <row r="78" customFormat="false" ht="24" hidden="false" customHeight="true" outlineLevel="0" collapsed="false">
      <c r="B78" s="9" t="s">
        <v>179</v>
      </c>
      <c r="C78" s="9"/>
      <c r="D78" s="9"/>
      <c r="E78" s="9"/>
      <c r="F78" s="9"/>
      <c r="G78" s="27" t="n">
        <v>4</v>
      </c>
      <c r="H78" s="31"/>
    </row>
    <row r="79" customFormat="false" ht="24" hidden="false" customHeight="true" outlineLevel="0" collapsed="false">
      <c r="B79" s="9" t="s">
        <v>180</v>
      </c>
      <c r="C79" s="9"/>
      <c r="D79" s="9"/>
      <c r="E79" s="9"/>
      <c r="F79" s="9"/>
      <c r="G79" s="27" t="n">
        <v>2</v>
      </c>
      <c r="H79" s="31"/>
    </row>
    <row r="80" customFormat="false" ht="24" hidden="false" customHeight="true" outlineLevel="0" collapsed="false">
      <c r="B80" s="9" t="s">
        <v>181</v>
      </c>
      <c r="C80" s="9"/>
      <c r="D80" s="9"/>
      <c r="E80" s="9"/>
      <c r="F80" s="9"/>
      <c r="G80" s="27" t="n">
        <v>2</v>
      </c>
      <c r="H80" s="31"/>
    </row>
    <row r="81" customFormat="false" ht="14.25" hidden="false" customHeight="false" outlineLevel="0" collapsed="false">
      <c r="B81" s="32" t="s">
        <v>182</v>
      </c>
      <c r="C81" s="32"/>
      <c r="D81" s="32"/>
      <c r="E81" s="32"/>
      <c r="F81" s="32"/>
      <c r="G81" s="15" t="n">
        <f aca="false">SUM(G75:G80)</f>
        <v>20</v>
      </c>
      <c r="H81" s="15" t="n">
        <f aca="false">SUM(H75:H80)</f>
        <v>0</v>
      </c>
    </row>
  </sheetData>
  <mergeCells count="61">
    <mergeCell ref="A1:H1"/>
    <mergeCell ref="A2:H2"/>
    <mergeCell ref="A4:H4"/>
    <mergeCell ref="C5:H5"/>
    <mergeCell ref="C6:H6"/>
    <mergeCell ref="C7:H7"/>
    <mergeCell ref="C8:H8"/>
    <mergeCell ref="A10:H10"/>
    <mergeCell ref="D11:H11"/>
    <mergeCell ref="D12:H12"/>
    <mergeCell ref="D13:H13"/>
    <mergeCell ref="D14:H14"/>
    <mergeCell ref="A15:H15"/>
    <mergeCell ref="A17:H17"/>
    <mergeCell ref="F18:H18"/>
    <mergeCell ref="F19:H19"/>
    <mergeCell ref="F20:H20"/>
    <mergeCell ref="F21:H21"/>
    <mergeCell ref="F22:H22"/>
    <mergeCell ref="F23:H23"/>
    <mergeCell ref="C31:H31"/>
    <mergeCell ref="C32:H32"/>
    <mergeCell ref="A34:H34"/>
    <mergeCell ref="F35:H35"/>
    <mergeCell ref="F36:H36"/>
    <mergeCell ref="G39:H39"/>
    <mergeCell ref="G40:H40"/>
    <mergeCell ref="G41:H41"/>
    <mergeCell ref="G42:H42"/>
    <mergeCell ref="G43:H43"/>
    <mergeCell ref="G44:H44"/>
    <mergeCell ref="G45:H45"/>
    <mergeCell ref="D50:E50"/>
    <mergeCell ref="D51:E51"/>
    <mergeCell ref="D52:E52"/>
    <mergeCell ref="D53:E53"/>
    <mergeCell ref="D54:E54"/>
    <mergeCell ref="D55:E55"/>
    <mergeCell ref="D56:E56"/>
    <mergeCell ref="D57:E57"/>
    <mergeCell ref="A59:H59"/>
    <mergeCell ref="F60:H60"/>
    <mergeCell ref="F61:H61"/>
    <mergeCell ref="F62:H62"/>
    <mergeCell ref="F63:H63"/>
    <mergeCell ref="F64:H64"/>
    <mergeCell ref="A66:H66"/>
    <mergeCell ref="D67:E67"/>
    <mergeCell ref="D68:E68"/>
    <mergeCell ref="D69:E69"/>
    <mergeCell ref="D70:E70"/>
    <mergeCell ref="D71:E71"/>
    <mergeCell ref="A73:H73"/>
    <mergeCell ref="B74:F74"/>
    <mergeCell ref="B75:F75"/>
    <mergeCell ref="B76:F76"/>
    <mergeCell ref="B77:F77"/>
    <mergeCell ref="B78:F78"/>
    <mergeCell ref="B79:F79"/>
    <mergeCell ref="B80:F80"/>
    <mergeCell ref="B81:F81"/>
  </mergeCells>
  <dataValidations count="2">
    <dataValidation allowBlank="true" error="Choisir dans la liste" errorStyle="stop" operator="between" showDropDown="false" showErrorMessage="false" showInputMessage="false" sqref="C52:C57" type="list">
      <formula1>"FP,FC"</formula1>
      <formula2>0</formula2>
    </dataValidation>
    <dataValidation allowBlank="true" error="Choisir dans la liste" errorStyle="stop" operator="between" showDropDown="false" showErrorMessage="false" showInputMessage="false" sqref="F68:H71" type="list">
      <formula1>"x,"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&amp;R&amp;8 &amp;K888888&amp;A  ·  page &amp;P/&amp;N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8AD0"/>
    <pageSetUpPr fitToPage="true"/>
  </sheetPr>
  <dimension ref="A1:H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5" min="3" style="0" width="22"/>
    <col collapsed="false" customWidth="true" hidden="false" outlineLevel="0" max="6" min="6" style="0" width="20"/>
    <col collapsed="false" customWidth="true" hidden="false" outlineLevel="0" max="8" min="7" style="0" width="12"/>
  </cols>
  <sheetData>
    <row r="1" customFormat="false" ht="30" hidden="false" customHeight="true" outlineLevel="0" collapsed="false">
      <c r="A1" s="1" t="s">
        <v>184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6" t="s">
        <v>185</v>
      </c>
      <c r="B2" s="6"/>
      <c r="C2" s="6"/>
      <c r="D2" s="6"/>
      <c r="E2" s="6"/>
      <c r="F2" s="6"/>
      <c r="G2" s="6"/>
      <c r="H2" s="6"/>
    </row>
    <row r="4" customFormat="false" ht="21.75" hidden="false" customHeight="true" outlineLevel="0" collapsed="false">
      <c r="A4" s="20" t="s">
        <v>113</v>
      </c>
      <c r="B4" s="20"/>
      <c r="C4" s="20"/>
      <c r="D4" s="20"/>
      <c r="E4" s="20"/>
      <c r="F4" s="20"/>
      <c r="G4" s="20"/>
      <c r="H4" s="20"/>
    </row>
    <row r="5" customFormat="false" ht="33" hidden="false" customHeight="true" outlineLevel="0" collapsed="false">
      <c r="B5" s="21" t="s">
        <v>23</v>
      </c>
      <c r="C5" s="22" t="s">
        <v>40</v>
      </c>
      <c r="D5" s="22"/>
      <c r="E5" s="22"/>
      <c r="F5" s="22"/>
      <c r="G5" s="22"/>
      <c r="H5" s="22"/>
    </row>
    <row r="6" customFormat="false" ht="33" hidden="false" customHeight="true" outlineLevel="0" collapsed="false">
      <c r="B6" s="21" t="s">
        <v>24</v>
      </c>
      <c r="C6" s="22" t="s">
        <v>41</v>
      </c>
      <c r="D6" s="22"/>
      <c r="E6" s="22"/>
      <c r="F6" s="22"/>
      <c r="G6" s="22"/>
      <c r="H6" s="22"/>
    </row>
    <row r="7" customFormat="false" ht="33" hidden="false" customHeight="true" outlineLevel="0" collapsed="false">
      <c r="B7" s="21" t="s">
        <v>25</v>
      </c>
      <c r="C7" s="22" t="s">
        <v>42</v>
      </c>
      <c r="D7" s="22"/>
      <c r="E7" s="22"/>
      <c r="F7" s="22"/>
      <c r="G7" s="22"/>
      <c r="H7" s="22"/>
    </row>
    <row r="8" customFormat="false" ht="33" hidden="false" customHeight="true" outlineLevel="0" collapsed="false">
      <c r="B8" s="21" t="s">
        <v>26</v>
      </c>
      <c r="C8" s="22" t="s">
        <v>43</v>
      </c>
      <c r="D8" s="22"/>
      <c r="E8" s="22"/>
      <c r="F8" s="22"/>
      <c r="G8" s="22"/>
      <c r="H8" s="22"/>
    </row>
    <row r="10" customFormat="false" ht="21.75" hidden="false" customHeight="true" outlineLevel="0" collapsed="false">
      <c r="A10" s="20" t="s">
        <v>114</v>
      </c>
      <c r="B10" s="20"/>
      <c r="C10" s="20"/>
      <c r="D10" s="20"/>
      <c r="E10" s="20"/>
      <c r="F10" s="20"/>
      <c r="G10" s="20"/>
      <c r="H10" s="20"/>
    </row>
    <row r="11" customFormat="false" ht="27.75" hidden="false" customHeight="true" outlineLevel="0" collapsed="false">
      <c r="B11" s="7" t="s">
        <v>115</v>
      </c>
      <c r="C11" s="7" t="s">
        <v>116</v>
      </c>
      <c r="D11" s="7" t="s">
        <v>117</v>
      </c>
      <c r="E11" s="7"/>
      <c r="F11" s="7"/>
      <c r="G11" s="7"/>
      <c r="H11" s="7"/>
    </row>
    <row r="12" customFormat="false" ht="25.5" hidden="false" customHeight="true" outlineLevel="0" collapsed="false">
      <c r="B12" s="8" t="s">
        <v>118</v>
      </c>
      <c r="C12" s="23"/>
      <c r="D12" s="24" t="s">
        <v>119</v>
      </c>
      <c r="E12" s="24"/>
      <c r="F12" s="24"/>
      <c r="G12" s="24"/>
      <c r="H12" s="24"/>
    </row>
    <row r="13" customFormat="false" ht="25.5" hidden="false" customHeight="true" outlineLevel="0" collapsed="false">
      <c r="B13" s="8" t="s">
        <v>120</v>
      </c>
      <c r="C13" s="23"/>
      <c r="D13" s="24" t="s">
        <v>121</v>
      </c>
      <c r="E13" s="24"/>
      <c r="F13" s="24"/>
      <c r="G13" s="24"/>
      <c r="H13" s="24"/>
    </row>
    <row r="14" customFormat="false" ht="25.5" hidden="false" customHeight="true" outlineLevel="0" collapsed="false">
      <c r="B14" s="8" t="s">
        <v>122</v>
      </c>
      <c r="C14" s="23"/>
      <c r="D14" s="24" t="s">
        <v>123</v>
      </c>
      <c r="E14" s="24"/>
      <c r="F14" s="24"/>
      <c r="G14" s="24"/>
      <c r="H14" s="24"/>
    </row>
    <row r="15" customFormat="false" ht="15" hidden="false" customHeight="true" outlineLevel="0" collapsed="false">
      <c r="A15" s="12" t="s">
        <v>124</v>
      </c>
      <c r="B15" s="12"/>
      <c r="C15" s="12"/>
      <c r="D15" s="12"/>
      <c r="E15" s="12"/>
      <c r="F15" s="12"/>
      <c r="G15" s="12"/>
      <c r="H15" s="12"/>
    </row>
    <row r="17" customFormat="false" ht="21.75" hidden="false" customHeight="true" outlineLevel="0" collapsed="false">
      <c r="A17" s="20" t="s">
        <v>125</v>
      </c>
      <c r="B17" s="20"/>
      <c r="C17" s="20"/>
      <c r="D17" s="20"/>
      <c r="E17" s="20"/>
      <c r="F17" s="20"/>
      <c r="G17" s="20"/>
      <c r="H17" s="20"/>
    </row>
    <row r="18" customFormat="false" ht="15" hidden="false" customHeight="true" outlineLevel="0" collapsed="false">
      <c r="F18" s="10" t="s">
        <v>126</v>
      </c>
      <c r="G18" s="10"/>
      <c r="H18" s="10"/>
    </row>
    <row r="19" customFormat="false" ht="25.5" hidden="false" customHeight="true" outlineLevel="0" collapsed="false">
      <c r="F19" s="25"/>
      <c r="G19" s="25"/>
      <c r="H19" s="25"/>
    </row>
    <row r="20" customFormat="false" ht="15" hidden="false" customHeight="true" outlineLevel="0" collapsed="false">
      <c r="F20" s="10" t="s">
        <v>127</v>
      </c>
      <c r="G20" s="10"/>
      <c r="H20" s="10"/>
    </row>
    <row r="21" customFormat="false" ht="25.5" hidden="false" customHeight="true" outlineLevel="0" collapsed="false">
      <c r="F21" s="25"/>
      <c r="G21" s="25"/>
      <c r="H21" s="25"/>
    </row>
    <row r="22" customFormat="false" ht="15" hidden="false" customHeight="true" outlineLevel="0" collapsed="false">
      <c r="F22" s="10" t="s">
        <v>128</v>
      </c>
      <c r="G22" s="10"/>
      <c r="H22" s="10"/>
    </row>
    <row r="23" customFormat="false" ht="25.5" hidden="false" customHeight="true" outlineLevel="0" collapsed="false">
      <c r="F23" s="25"/>
      <c r="G23" s="25"/>
      <c r="H23" s="25"/>
    </row>
    <row r="31" customFormat="false" ht="24" hidden="false" customHeight="true" outlineLevel="0" collapsed="false">
      <c r="B31" s="21" t="s">
        <v>129</v>
      </c>
      <c r="C31" s="25"/>
      <c r="D31" s="25"/>
      <c r="E31" s="25"/>
      <c r="F31" s="25"/>
      <c r="G31" s="25"/>
      <c r="H31" s="25"/>
    </row>
    <row r="32" customFormat="false" ht="24" hidden="false" customHeight="true" outlineLevel="0" collapsed="false">
      <c r="B32" s="21" t="s">
        <v>130</v>
      </c>
      <c r="C32" s="25"/>
      <c r="D32" s="25"/>
      <c r="E32" s="25"/>
      <c r="F32" s="25"/>
      <c r="G32" s="25"/>
      <c r="H32" s="25"/>
    </row>
    <row r="34" customFormat="false" ht="21.75" hidden="false" customHeight="true" outlineLevel="0" collapsed="false">
      <c r="A34" s="20" t="s">
        <v>131</v>
      </c>
      <c r="B34" s="20"/>
      <c r="C34" s="20"/>
      <c r="D34" s="20"/>
      <c r="E34" s="20"/>
      <c r="F34" s="20"/>
      <c r="G34" s="20"/>
      <c r="H34" s="20"/>
    </row>
    <row r="35" customFormat="false" ht="14.25" hidden="false" customHeight="false" outlineLevel="0" collapsed="false">
      <c r="F35" s="26" t="s">
        <v>132</v>
      </c>
      <c r="G35" s="26"/>
      <c r="H35" s="26"/>
    </row>
    <row r="36" customFormat="false" ht="24" hidden="false" customHeight="true" outlineLevel="0" collapsed="false">
      <c r="F36" s="25"/>
      <c r="G36" s="25"/>
      <c r="H36" s="25"/>
    </row>
    <row r="38" customFormat="false" ht="14.25" hidden="false" customHeight="false" outlineLevel="0" collapsed="false">
      <c r="F38" s="3" t="s">
        <v>133</v>
      </c>
    </row>
    <row r="39" customFormat="false" ht="27.75" hidden="false" customHeight="true" outlineLevel="0" collapsed="false">
      <c r="F39" s="7" t="s">
        <v>134</v>
      </c>
      <c r="G39" s="7" t="s">
        <v>60</v>
      </c>
      <c r="H39" s="7"/>
    </row>
    <row r="40" customFormat="false" ht="14.25" hidden="false" customHeight="false" outlineLevel="0" collapsed="false">
      <c r="F40" s="27" t="s">
        <v>135</v>
      </c>
      <c r="G40" s="28"/>
      <c r="H40" s="28"/>
    </row>
    <row r="41" customFormat="false" ht="14.25" hidden="false" customHeight="false" outlineLevel="0" collapsed="false">
      <c r="F41" s="27" t="s">
        <v>136</v>
      </c>
      <c r="G41" s="28"/>
      <c r="H41" s="28"/>
    </row>
    <row r="42" customFormat="false" ht="14.25" hidden="false" customHeight="false" outlineLevel="0" collapsed="false">
      <c r="F42" s="27" t="s">
        <v>137</v>
      </c>
      <c r="G42" s="28"/>
      <c r="H42" s="28"/>
    </row>
    <row r="43" customFormat="false" ht="14.25" hidden="false" customHeight="false" outlineLevel="0" collapsed="false">
      <c r="F43" s="27" t="s">
        <v>138</v>
      </c>
      <c r="G43" s="28"/>
      <c r="H43" s="28"/>
    </row>
    <row r="44" customFormat="false" ht="14.25" hidden="false" customHeight="false" outlineLevel="0" collapsed="false">
      <c r="F44" s="27" t="s">
        <v>139</v>
      </c>
      <c r="G44" s="28"/>
      <c r="H44" s="28"/>
    </row>
    <row r="45" customFormat="false" ht="14.25" hidden="false" customHeight="false" outlineLevel="0" collapsed="false">
      <c r="F45" s="27" t="s">
        <v>140</v>
      </c>
      <c r="G45" s="28"/>
      <c r="H45" s="28"/>
    </row>
    <row r="49" customFormat="false" ht="14.25" hidden="false" customHeight="false" outlineLevel="0" collapsed="false">
      <c r="B49" s="3" t="s">
        <v>141</v>
      </c>
    </row>
    <row r="50" customFormat="false" ht="27.75" hidden="false" customHeight="true" outlineLevel="0" collapsed="false">
      <c r="B50" s="7" t="s">
        <v>134</v>
      </c>
      <c r="C50" s="7" t="s">
        <v>142</v>
      </c>
      <c r="D50" s="7" t="s">
        <v>143</v>
      </c>
      <c r="E50" s="7"/>
      <c r="F50" s="7" t="s">
        <v>144</v>
      </c>
      <c r="G50" s="7" t="s">
        <v>145</v>
      </c>
    </row>
    <row r="51" customFormat="false" ht="30" hidden="false" customHeight="true" outlineLevel="0" collapsed="false">
      <c r="B51" s="29" t="s">
        <v>146</v>
      </c>
      <c r="C51" s="29" t="s">
        <v>147</v>
      </c>
      <c r="D51" s="24" t="s">
        <v>148</v>
      </c>
      <c r="E51" s="24"/>
      <c r="F51" s="30" t="s">
        <v>149</v>
      </c>
      <c r="G51" s="29" t="s">
        <v>150</v>
      </c>
      <c r="H51" s="29" t="s">
        <v>151</v>
      </c>
    </row>
    <row r="52" customFormat="false" ht="25.5" hidden="false" customHeight="true" outlineLevel="0" collapsed="false">
      <c r="B52" s="31"/>
      <c r="C52" s="31"/>
      <c r="D52" s="28"/>
      <c r="E52" s="28"/>
      <c r="F52" s="23"/>
      <c r="G52" s="23"/>
      <c r="H52" s="23"/>
    </row>
    <row r="53" customFormat="false" ht="25.5" hidden="false" customHeight="true" outlineLevel="0" collapsed="false">
      <c r="B53" s="31"/>
      <c r="C53" s="31"/>
      <c r="D53" s="28"/>
      <c r="E53" s="28"/>
      <c r="F53" s="23"/>
      <c r="G53" s="23"/>
      <c r="H53" s="23"/>
    </row>
    <row r="54" customFormat="false" ht="25.5" hidden="false" customHeight="true" outlineLevel="0" collapsed="false">
      <c r="B54" s="31"/>
      <c r="C54" s="31"/>
      <c r="D54" s="28"/>
      <c r="E54" s="28"/>
      <c r="F54" s="23"/>
      <c r="G54" s="23"/>
      <c r="H54" s="23"/>
    </row>
    <row r="55" customFormat="false" ht="25.5" hidden="false" customHeight="true" outlineLevel="0" collapsed="false">
      <c r="B55" s="31"/>
      <c r="C55" s="31"/>
      <c r="D55" s="28"/>
      <c r="E55" s="28"/>
      <c r="F55" s="23"/>
      <c r="G55" s="23"/>
      <c r="H55" s="23"/>
    </row>
    <row r="56" customFormat="false" ht="25.5" hidden="false" customHeight="true" outlineLevel="0" collapsed="false">
      <c r="B56" s="31"/>
      <c r="C56" s="31"/>
      <c r="D56" s="28"/>
      <c r="E56" s="28"/>
      <c r="F56" s="23"/>
      <c r="G56" s="23"/>
      <c r="H56" s="23"/>
    </row>
    <row r="57" customFormat="false" ht="25.5" hidden="false" customHeight="true" outlineLevel="0" collapsed="false">
      <c r="B57" s="31"/>
      <c r="C57" s="31"/>
      <c r="D57" s="28"/>
      <c r="E57" s="28"/>
      <c r="F57" s="23"/>
      <c r="G57" s="23"/>
      <c r="H57" s="23"/>
    </row>
    <row r="59" customFormat="false" ht="21.75" hidden="false" customHeight="true" outlineLevel="0" collapsed="false">
      <c r="A59" s="20" t="s">
        <v>152</v>
      </c>
      <c r="B59" s="20"/>
      <c r="C59" s="20"/>
      <c r="D59" s="20"/>
      <c r="E59" s="20"/>
      <c r="F59" s="20"/>
      <c r="G59" s="20"/>
      <c r="H59" s="20"/>
    </row>
    <row r="60" customFormat="false" ht="27.75" hidden="false" customHeight="true" outlineLevel="0" collapsed="false">
      <c r="B60" s="7" t="s">
        <v>153</v>
      </c>
      <c r="C60" s="7" t="s">
        <v>154</v>
      </c>
      <c r="D60" s="7" t="s">
        <v>155</v>
      </c>
      <c r="E60" s="7" t="s">
        <v>156</v>
      </c>
      <c r="F60" s="7" t="s">
        <v>157</v>
      </c>
      <c r="G60" s="7"/>
      <c r="H60" s="7"/>
    </row>
    <row r="61" customFormat="false" ht="30" hidden="false" customHeight="true" outlineLevel="0" collapsed="false">
      <c r="B61" s="23"/>
      <c r="C61" s="23"/>
      <c r="D61" s="31"/>
      <c r="E61" s="31"/>
      <c r="F61" s="28"/>
      <c r="G61" s="28"/>
      <c r="H61" s="28"/>
    </row>
    <row r="62" customFormat="false" ht="30" hidden="false" customHeight="true" outlineLevel="0" collapsed="false">
      <c r="B62" s="23"/>
      <c r="C62" s="23"/>
      <c r="D62" s="31"/>
      <c r="E62" s="31"/>
      <c r="F62" s="28"/>
      <c r="G62" s="28"/>
      <c r="H62" s="28"/>
    </row>
    <row r="63" customFormat="false" ht="30" hidden="false" customHeight="true" outlineLevel="0" collapsed="false">
      <c r="B63" s="23"/>
      <c r="C63" s="23"/>
      <c r="D63" s="31"/>
      <c r="E63" s="31"/>
      <c r="F63" s="28"/>
      <c r="G63" s="28"/>
      <c r="H63" s="28"/>
    </row>
    <row r="64" customFormat="false" ht="30" hidden="false" customHeight="true" outlineLevel="0" collapsed="false">
      <c r="B64" s="23"/>
      <c r="C64" s="23"/>
      <c r="D64" s="31"/>
      <c r="E64" s="31"/>
      <c r="F64" s="28"/>
      <c r="G64" s="28"/>
      <c r="H64" s="28"/>
    </row>
    <row r="66" customFormat="false" ht="21.75" hidden="false" customHeight="true" outlineLevel="0" collapsed="false">
      <c r="A66" s="20" t="s">
        <v>158</v>
      </c>
      <c r="B66" s="20"/>
      <c r="C66" s="20"/>
      <c r="D66" s="20"/>
      <c r="E66" s="20"/>
      <c r="F66" s="20"/>
      <c r="G66" s="20"/>
      <c r="H66" s="20"/>
    </row>
    <row r="67" customFormat="false" ht="27.75" hidden="false" customHeight="true" outlineLevel="0" collapsed="false">
      <c r="B67" s="7" t="s">
        <v>159</v>
      </c>
      <c r="C67" s="7" t="s">
        <v>160</v>
      </c>
      <c r="D67" s="7" t="s">
        <v>161</v>
      </c>
      <c r="E67" s="7"/>
      <c r="F67" s="7" t="s">
        <v>162</v>
      </c>
      <c r="G67" s="7" t="s">
        <v>163</v>
      </c>
    </row>
    <row r="68" customFormat="false" ht="30" hidden="false" customHeight="true" outlineLevel="0" collapsed="false">
      <c r="B68" s="8" t="s">
        <v>164</v>
      </c>
      <c r="C68" s="9" t="s">
        <v>165</v>
      </c>
      <c r="D68" s="28"/>
      <c r="E68" s="28"/>
      <c r="F68" s="31"/>
      <c r="G68" s="31"/>
      <c r="H68" s="31"/>
    </row>
    <row r="69" customFormat="false" ht="30" hidden="false" customHeight="true" outlineLevel="0" collapsed="false">
      <c r="B69" s="8" t="s">
        <v>166</v>
      </c>
      <c r="C69" s="9" t="s">
        <v>167</v>
      </c>
      <c r="D69" s="28"/>
      <c r="E69" s="28"/>
      <c r="F69" s="31"/>
      <c r="G69" s="31"/>
      <c r="H69" s="31"/>
    </row>
    <row r="70" customFormat="false" ht="30" hidden="false" customHeight="true" outlineLevel="0" collapsed="false">
      <c r="B70" s="8" t="s">
        <v>168</v>
      </c>
      <c r="C70" s="9" t="s">
        <v>169</v>
      </c>
      <c r="D70" s="28"/>
      <c r="E70" s="28"/>
      <c r="F70" s="31"/>
      <c r="G70" s="31"/>
      <c r="H70" s="31"/>
    </row>
    <row r="71" customFormat="false" ht="30" hidden="false" customHeight="true" outlineLevel="0" collapsed="false">
      <c r="B71" s="8" t="s">
        <v>170</v>
      </c>
      <c r="C71" s="9" t="s">
        <v>171</v>
      </c>
      <c r="D71" s="28"/>
      <c r="E71" s="28"/>
      <c r="F71" s="31"/>
      <c r="G71" s="31"/>
      <c r="H71" s="31"/>
    </row>
    <row r="73" customFormat="false" ht="21.75" hidden="false" customHeight="true" outlineLevel="0" collapsed="false">
      <c r="A73" s="20" t="s">
        <v>172</v>
      </c>
      <c r="B73" s="20"/>
      <c r="C73" s="20"/>
      <c r="D73" s="20"/>
      <c r="E73" s="20"/>
      <c r="F73" s="20"/>
      <c r="G73" s="20"/>
      <c r="H73" s="20"/>
    </row>
    <row r="74" customFormat="false" ht="27.75" hidden="false" customHeight="true" outlineLevel="0" collapsed="false">
      <c r="B74" s="7" t="s">
        <v>173</v>
      </c>
      <c r="C74" s="7"/>
      <c r="D74" s="7"/>
      <c r="E74" s="7"/>
      <c r="F74" s="7"/>
      <c r="G74" s="7" t="s">
        <v>174</v>
      </c>
      <c r="H74" s="7" t="s">
        <v>175</v>
      </c>
    </row>
    <row r="75" customFormat="false" ht="24" hidden="false" customHeight="true" outlineLevel="0" collapsed="false">
      <c r="B75" s="9" t="s">
        <v>176</v>
      </c>
      <c r="C75" s="9"/>
      <c r="D75" s="9"/>
      <c r="E75" s="9"/>
      <c r="F75" s="9"/>
      <c r="G75" s="27" t="n">
        <v>4</v>
      </c>
      <c r="H75" s="31"/>
    </row>
    <row r="76" customFormat="false" ht="24" hidden="false" customHeight="true" outlineLevel="0" collapsed="false">
      <c r="B76" s="9" t="s">
        <v>177</v>
      </c>
      <c r="C76" s="9"/>
      <c r="D76" s="9"/>
      <c r="E76" s="9"/>
      <c r="F76" s="9"/>
      <c r="G76" s="27" t="n">
        <v>3</v>
      </c>
      <c r="H76" s="31"/>
    </row>
    <row r="77" customFormat="false" ht="24" hidden="false" customHeight="true" outlineLevel="0" collapsed="false">
      <c r="B77" s="9" t="s">
        <v>178</v>
      </c>
      <c r="C77" s="9"/>
      <c r="D77" s="9"/>
      <c r="E77" s="9"/>
      <c r="F77" s="9"/>
      <c r="G77" s="27" t="n">
        <v>5</v>
      </c>
      <c r="H77" s="31"/>
    </row>
    <row r="78" customFormat="false" ht="24" hidden="false" customHeight="true" outlineLevel="0" collapsed="false">
      <c r="B78" s="9" t="s">
        <v>179</v>
      </c>
      <c r="C78" s="9"/>
      <c r="D78" s="9"/>
      <c r="E78" s="9"/>
      <c r="F78" s="9"/>
      <c r="G78" s="27" t="n">
        <v>4</v>
      </c>
      <c r="H78" s="31"/>
    </row>
    <row r="79" customFormat="false" ht="24" hidden="false" customHeight="true" outlineLevel="0" collapsed="false">
      <c r="B79" s="9" t="s">
        <v>180</v>
      </c>
      <c r="C79" s="9"/>
      <c r="D79" s="9"/>
      <c r="E79" s="9"/>
      <c r="F79" s="9"/>
      <c r="G79" s="27" t="n">
        <v>2</v>
      </c>
      <c r="H79" s="31"/>
    </row>
    <row r="80" customFormat="false" ht="24" hidden="false" customHeight="true" outlineLevel="0" collapsed="false">
      <c r="B80" s="9" t="s">
        <v>181</v>
      </c>
      <c r="C80" s="9"/>
      <c r="D80" s="9"/>
      <c r="E80" s="9"/>
      <c r="F80" s="9"/>
      <c r="G80" s="27" t="n">
        <v>2</v>
      </c>
      <c r="H80" s="31"/>
    </row>
    <row r="81" customFormat="false" ht="14.25" hidden="false" customHeight="false" outlineLevel="0" collapsed="false">
      <c r="B81" s="32" t="s">
        <v>182</v>
      </c>
      <c r="C81" s="32"/>
      <c r="D81" s="32"/>
      <c r="E81" s="32"/>
      <c r="F81" s="32"/>
      <c r="G81" s="15" t="n">
        <f aca="false">SUM(G75:G80)</f>
        <v>20</v>
      </c>
      <c r="H81" s="15" t="n">
        <f aca="false">SUM(H75:H80)</f>
        <v>0</v>
      </c>
    </row>
  </sheetData>
  <mergeCells count="61">
    <mergeCell ref="A1:H1"/>
    <mergeCell ref="A2:H2"/>
    <mergeCell ref="A4:H4"/>
    <mergeCell ref="C5:H5"/>
    <mergeCell ref="C6:H6"/>
    <mergeCell ref="C7:H7"/>
    <mergeCell ref="C8:H8"/>
    <mergeCell ref="A10:H10"/>
    <mergeCell ref="D11:H11"/>
    <mergeCell ref="D12:H12"/>
    <mergeCell ref="D13:H13"/>
    <mergeCell ref="D14:H14"/>
    <mergeCell ref="A15:H15"/>
    <mergeCell ref="A17:H17"/>
    <mergeCell ref="F18:H18"/>
    <mergeCell ref="F19:H19"/>
    <mergeCell ref="F20:H20"/>
    <mergeCell ref="F21:H21"/>
    <mergeCell ref="F22:H22"/>
    <mergeCell ref="F23:H23"/>
    <mergeCell ref="C31:H31"/>
    <mergeCell ref="C32:H32"/>
    <mergeCell ref="A34:H34"/>
    <mergeCell ref="F35:H35"/>
    <mergeCell ref="F36:H36"/>
    <mergeCell ref="G39:H39"/>
    <mergeCell ref="G40:H40"/>
    <mergeCell ref="G41:H41"/>
    <mergeCell ref="G42:H42"/>
    <mergeCell ref="G43:H43"/>
    <mergeCell ref="G44:H44"/>
    <mergeCell ref="G45:H45"/>
    <mergeCell ref="D50:E50"/>
    <mergeCell ref="D51:E51"/>
    <mergeCell ref="D52:E52"/>
    <mergeCell ref="D53:E53"/>
    <mergeCell ref="D54:E54"/>
    <mergeCell ref="D55:E55"/>
    <mergeCell ref="D56:E56"/>
    <mergeCell ref="D57:E57"/>
    <mergeCell ref="A59:H59"/>
    <mergeCell ref="F60:H60"/>
    <mergeCell ref="F61:H61"/>
    <mergeCell ref="F62:H62"/>
    <mergeCell ref="F63:H63"/>
    <mergeCell ref="F64:H64"/>
    <mergeCell ref="A66:H66"/>
    <mergeCell ref="D67:E67"/>
    <mergeCell ref="D68:E68"/>
    <mergeCell ref="D69:E69"/>
    <mergeCell ref="D70:E70"/>
    <mergeCell ref="D71:E71"/>
    <mergeCell ref="A73:H73"/>
    <mergeCell ref="B74:F74"/>
    <mergeCell ref="B75:F75"/>
    <mergeCell ref="B76:F76"/>
    <mergeCell ref="B77:F77"/>
    <mergeCell ref="B78:F78"/>
    <mergeCell ref="B79:F79"/>
    <mergeCell ref="B80:F80"/>
    <mergeCell ref="B81:F81"/>
  </mergeCells>
  <dataValidations count="2">
    <dataValidation allowBlank="true" error="Choisir dans la liste" errorStyle="stop" operator="between" showDropDown="false" showErrorMessage="false" showInputMessage="false" sqref="C52:C57" type="list">
      <formula1>"FP,FC"</formula1>
      <formula2>0</formula2>
    </dataValidation>
    <dataValidation allowBlank="true" error="Choisir dans la liste" errorStyle="stop" operator="between" showDropDown="false" showErrorMessage="false" showInputMessage="false" sqref="F68:H71" type="list">
      <formula1>"x,"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&amp;R&amp;8 &amp;K888888&amp;A  ·  page 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8AD0"/>
    <pageSetUpPr fitToPage="true"/>
  </sheetPr>
  <dimension ref="A1:H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5" min="3" style="0" width="22"/>
    <col collapsed="false" customWidth="true" hidden="false" outlineLevel="0" max="6" min="6" style="0" width="20"/>
    <col collapsed="false" customWidth="true" hidden="false" outlineLevel="0" max="8" min="7" style="0" width="12"/>
  </cols>
  <sheetData>
    <row r="1" customFormat="false" ht="30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6" t="s">
        <v>187</v>
      </c>
      <c r="B2" s="6"/>
      <c r="C2" s="6"/>
      <c r="D2" s="6"/>
      <c r="E2" s="6"/>
      <c r="F2" s="6"/>
      <c r="G2" s="6"/>
      <c r="H2" s="6"/>
    </row>
    <row r="4" customFormat="false" ht="21.75" hidden="false" customHeight="true" outlineLevel="0" collapsed="false">
      <c r="A4" s="20" t="s">
        <v>113</v>
      </c>
      <c r="B4" s="20"/>
      <c r="C4" s="20"/>
      <c r="D4" s="20"/>
      <c r="E4" s="20"/>
      <c r="F4" s="20"/>
      <c r="G4" s="20"/>
      <c r="H4" s="20"/>
    </row>
    <row r="5" customFormat="false" ht="33" hidden="false" customHeight="true" outlineLevel="0" collapsed="false">
      <c r="B5" s="21" t="s">
        <v>23</v>
      </c>
      <c r="C5" s="22" t="s">
        <v>46</v>
      </c>
      <c r="D5" s="22"/>
      <c r="E5" s="22"/>
      <c r="F5" s="22"/>
      <c r="G5" s="22"/>
      <c r="H5" s="22"/>
    </row>
    <row r="6" customFormat="false" ht="33" hidden="false" customHeight="true" outlineLevel="0" collapsed="false">
      <c r="B6" s="21" t="s">
        <v>24</v>
      </c>
      <c r="C6" s="22" t="s">
        <v>47</v>
      </c>
      <c r="D6" s="22"/>
      <c r="E6" s="22"/>
      <c r="F6" s="22"/>
      <c r="G6" s="22"/>
      <c r="H6" s="22"/>
    </row>
    <row r="7" customFormat="false" ht="33" hidden="false" customHeight="true" outlineLevel="0" collapsed="false">
      <c r="B7" s="21" t="s">
        <v>25</v>
      </c>
      <c r="C7" s="22" t="s">
        <v>48</v>
      </c>
      <c r="D7" s="22"/>
      <c r="E7" s="22"/>
      <c r="F7" s="22"/>
      <c r="G7" s="22"/>
      <c r="H7" s="22"/>
    </row>
    <row r="8" customFormat="false" ht="33" hidden="false" customHeight="true" outlineLevel="0" collapsed="false">
      <c r="B8" s="21" t="s">
        <v>26</v>
      </c>
      <c r="C8" s="22" t="s">
        <v>49</v>
      </c>
      <c r="D8" s="22"/>
      <c r="E8" s="22"/>
      <c r="F8" s="22"/>
      <c r="G8" s="22"/>
      <c r="H8" s="22"/>
    </row>
    <row r="10" customFormat="false" ht="21.75" hidden="false" customHeight="true" outlineLevel="0" collapsed="false">
      <c r="A10" s="20" t="s">
        <v>114</v>
      </c>
      <c r="B10" s="20"/>
      <c r="C10" s="20"/>
      <c r="D10" s="20"/>
      <c r="E10" s="20"/>
      <c r="F10" s="20"/>
      <c r="G10" s="20"/>
      <c r="H10" s="20"/>
    </row>
    <row r="11" customFormat="false" ht="27.75" hidden="false" customHeight="true" outlineLevel="0" collapsed="false">
      <c r="B11" s="7" t="s">
        <v>115</v>
      </c>
      <c r="C11" s="7" t="s">
        <v>116</v>
      </c>
      <c r="D11" s="7" t="s">
        <v>117</v>
      </c>
      <c r="E11" s="7"/>
      <c r="F11" s="7"/>
      <c r="G11" s="7"/>
      <c r="H11" s="7"/>
    </row>
    <row r="12" customFormat="false" ht="25.5" hidden="false" customHeight="true" outlineLevel="0" collapsed="false">
      <c r="B12" s="8" t="s">
        <v>118</v>
      </c>
      <c r="C12" s="23"/>
      <c r="D12" s="24" t="s">
        <v>119</v>
      </c>
      <c r="E12" s="24"/>
      <c r="F12" s="24"/>
      <c r="G12" s="24"/>
      <c r="H12" s="24"/>
    </row>
    <row r="13" customFormat="false" ht="25.5" hidden="false" customHeight="true" outlineLevel="0" collapsed="false">
      <c r="B13" s="8" t="s">
        <v>120</v>
      </c>
      <c r="C13" s="23"/>
      <c r="D13" s="24" t="s">
        <v>121</v>
      </c>
      <c r="E13" s="24"/>
      <c r="F13" s="24"/>
      <c r="G13" s="24"/>
      <c r="H13" s="24"/>
    </row>
    <row r="14" customFormat="false" ht="25.5" hidden="false" customHeight="true" outlineLevel="0" collapsed="false">
      <c r="B14" s="8" t="s">
        <v>122</v>
      </c>
      <c r="C14" s="23"/>
      <c r="D14" s="24" t="s">
        <v>123</v>
      </c>
      <c r="E14" s="24"/>
      <c r="F14" s="24"/>
      <c r="G14" s="24"/>
      <c r="H14" s="24"/>
    </row>
    <row r="15" customFormat="false" ht="15" hidden="false" customHeight="true" outlineLevel="0" collapsed="false">
      <c r="A15" s="12" t="s">
        <v>124</v>
      </c>
      <c r="B15" s="12"/>
      <c r="C15" s="12"/>
      <c r="D15" s="12"/>
      <c r="E15" s="12"/>
      <c r="F15" s="12"/>
      <c r="G15" s="12"/>
      <c r="H15" s="12"/>
    </row>
    <row r="17" customFormat="false" ht="21.75" hidden="false" customHeight="true" outlineLevel="0" collapsed="false">
      <c r="A17" s="20" t="s">
        <v>125</v>
      </c>
      <c r="B17" s="20"/>
      <c r="C17" s="20"/>
      <c r="D17" s="20"/>
      <c r="E17" s="20"/>
      <c r="F17" s="20"/>
      <c r="G17" s="20"/>
      <c r="H17" s="20"/>
    </row>
    <row r="18" customFormat="false" ht="15" hidden="false" customHeight="true" outlineLevel="0" collapsed="false">
      <c r="F18" s="10" t="s">
        <v>126</v>
      </c>
      <c r="G18" s="10"/>
      <c r="H18" s="10"/>
    </row>
    <row r="19" customFormat="false" ht="25.5" hidden="false" customHeight="true" outlineLevel="0" collapsed="false">
      <c r="F19" s="25"/>
      <c r="G19" s="25"/>
      <c r="H19" s="25"/>
    </row>
    <row r="20" customFormat="false" ht="15" hidden="false" customHeight="true" outlineLevel="0" collapsed="false">
      <c r="F20" s="10" t="s">
        <v>127</v>
      </c>
      <c r="G20" s="10"/>
      <c r="H20" s="10"/>
    </row>
    <row r="21" customFormat="false" ht="25.5" hidden="false" customHeight="true" outlineLevel="0" collapsed="false">
      <c r="F21" s="25"/>
      <c r="G21" s="25"/>
      <c r="H21" s="25"/>
    </row>
    <row r="22" customFormat="false" ht="15" hidden="false" customHeight="true" outlineLevel="0" collapsed="false">
      <c r="F22" s="10" t="s">
        <v>128</v>
      </c>
      <c r="G22" s="10"/>
      <c r="H22" s="10"/>
    </row>
    <row r="23" customFormat="false" ht="25.5" hidden="false" customHeight="true" outlineLevel="0" collapsed="false">
      <c r="F23" s="25"/>
      <c r="G23" s="25"/>
      <c r="H23" s="25"/>
    </row>
    <row r="31" customFormat="false" ht="24" hidden="false" customHeight="true" outlineLevel="0" collapsed="false">
      <c r="B31" s="21" t="s">
        <v>129</v>
      </c>
      <c r="C31" s="25"/>
      <c r="D31" s="25"/>
      <c r="E31" s="25"/>
      <c r="F31" s="25"/>
      <c r="G31" s="25"/>
      <c r="H31" s="25"/>
    </row>
    <row r="32" customFormat="false" ht="24" hidden="false" customHeight="true" outlineLevel="0" collapsed="false">
      <c r="B32" s="21" t="s">
        <v>130</v>
      </c>
      <c r="C32" s="25"/>
      <c r="D32" s="25"/>
      <c r="E32" s="25"/>
      <c r="F32" s="25"/>
      <c r="G32" s="25"/>
      <c r="H32" s="25"/>
    </row>
    <row r="34" customFormat="false" ht="21.75" hidden="false" customHeight="true" outlineLevel="0" collapsed="false">
      <c r="A34" s="20" t="s">
        <v>131</v>
      </c>
      <c r="B34" s="20"/>
      <c r="C34" s="20"/>
      <c r="D34" s="20"/>
      <c r="E34" s="20"/>
      <c r="F34" s="20"/>
      <c r="G34" s="20"/>
      <c r="H34" s="20"/>
    </row>
    <row r="35" customFormat="false" ht="14.25" hidden="false" customHeight="false" outlineLevel="0" collapsed="false">
      <c r="F35" s="26" t="s">
        <v>132</v>
      </c>
      <c r="G35" s="26"/>
      <c r="H35" s="26"/>
    </row>
    <row r="36" customFormat="false" ht="24" hidden="false" customHeight="true" outlineLevel="0" collapsed="false">
      <c r="F36" s="25"/>
      <c r="G36" s="25"/>
      <c r="H36" s="25"/>
    </row>
    <row r="38" customFormat="false" ht="14.25" hidden="false" customHeight="false" outlineLevel="0" collapsed="false">
      <c r="F38" s="3" t="s">
        <v>133</v>
      </c>
    </row>
    <row r="39" customFormat="false" ht="27.75" hidden="false" customHeight="true" outlineLevel="0" collapsed="false">
      <c r="F39" s="7" t="s">
        <v>134</v>
      </c>
      <c r="G39" s="7" t="s">
        <v>60</v>
      </c>
      <c r="H39" s="7"/>
    </row>
    <row r="40" customFormat="false" ht="14.25" hidden="false" customHeight="false" outlineLevel="0" collapsed="false">
      <c r="F40" s="27" t="s">
        <v>135</v>
      </c>
      <c r="G40" s="28"/>
      <c r="H40" s="28"/>
    </row>
    <row r="41" customFormat="false" ht="14.25" hidden="false" customHeight="false" outlineLevel="0" collapsed="false">
      <c r="F41" s="27" t="s">
        <v>136</v>
      </c>
      <c r="G41" s="28"/>
      <c r="H41" s="28"/>
    </row>
    <row r="42" customFormat="false" ht="14.25" hidden="false" customHeight="false" outlineLevel="0" collapsed="false">
      <c r="F42" s="27" t="s">
        <v>137</v>
      </c>
      <c r="G42" s="28"/>
      <c r="H42" s="28"/>
    </row>
    <row r="43" customFormat="false" ht="14.25" hidden="false" customHeight="false" outlineLevel="0" collapsed="false">
      <c r="F43" s="27" t="s">
        <v>138</v>
      </c>
      <c r="G43" s="28"/>
      <c r="H43" s="28"/>
    </row>
    <row r="44" customFormat="false" ht="14.25" hidden="false" customHeight="false" outlineLevel="0" collapsed="false">
      <c r="F44" s="27" t="s">
        <v>139</v>
      </c>
      <c r="G44" s="28"/>
      <c r="H44" s="28"/>
    </row>
    <row r="45" customFormat="false" ht="14.25" hidden="false" customHeight="false" outlineLevel="0" collapsed="false">
      <c r="F45" s="27" t="s">
        <v>140</v>
      </c>
      <c r="G45" s="28"/>
      <c r="H45" s="28"/>
    </row>
    <row r="49" customFormat="false" ht="14.25" hidden="false" customHeight="false" outlineLevel="0" collapsed="false">
      <c r="B49" s="3" t="s">
        <v>141</v>
      </c>
    </row>
    <row r="50" customFormat="false" ht="27.75" hidden="false" customHeight="true" outlineLevel="0" collapsed="false">
      <c r="B50" s="7" t="s">
        <v>134</v>
      </c>
      <c r="C50" s="7" t="s">
        <v>142</v>
      </c>
      <c r="D50" s="7" t="s">
        <v>143</v>
      </c>
      <c r="E50" s="7"/>
      <c r="F50" s="7" t="s">
        <v>144</v>
      </c>
      <c r="G50" s="7" t="s">
        <v>145</v>
      </c>
    </row>
    <row r="51" customFormat="false" ht="30" hidden="false" customHeight="true" outlineLevel="0" collapsed="false">
      <c r="B51" s="29" t="s">
        <v>146</v>
      </c>
      <c r="C51" s="29" t="s">
        <v>147</v>
      </c>
      <c r="D51" s="24" t="s">
        <v>148</v>
      </c>
      <c r="E51" s="24"/>
      <c r="F51" s="30" t="s">
        <v>149</v>
      </c>
      <c r="G51" s="29" t="s">
        <v>150</v>
      </c>
      <c r="H51" s="29" t="s">
        <v>151</v>
      </c>
    </row>
    <row r="52" customFormat="false" ht="25.5" hidden="false" customHeight="true" outlineLevel="0" collapsed="false">
      <c r="B52" s="31"/>
      <c r="C52" s="31"/>
      <c r="D52" s="28"/>
      <c r="E52" s="28"/>
      <c r="F52" s="23"/>
      <c r="G52" s="23"/>
      <c r="H52" s="23"/>
    </row>
    <row r="53" customFormat="false" ht="25.5" hidden="false" customHeight="true" outlineLevel="0" collapsed="false">
      <c r="B53" s="31"/>
      <c r="C53" s="31"/>
      <c r="D53" s="28"/>
      <c r="E53" s="28"/>
      <c r="F53" s="23"/>
      <c r="G53" s="23"/>
      <c r="H53" s="23"/>
    </row>
    <row r="54" customFormat="false" ht="25.5" hidden="false" customHeight="true" outlineLevel="0" collapsed="false">
      <c r="B54" s="31"/>
      <c r="C54" s="31"/>
      <c r="D54" s="28"/>
      <c r="E54" s="28"/>
      <c r="F54" s="23"/>
      <c r="G54" s="23"/>
      <c r="H54" s="23"/>
    </row>
    <row r="55" customFormat="false" ht="25.5" hidden="false" customHeight="true" outlineLevel="0" collapsed="false">
      <c r="B55" s="31"/>
      <c r="C55" s="31"/>
      <c r="D55" s="28"/>
      <c r="E55" s="28"/>
      <c r="F55" s="23"/>
      <c r="G55" s="23"/>
      <c r="H55" s="23"/>
    </row>
    <row r="56" customFormat="false" ht="25.5" hidden="false" customHeight="true" outlineLevel="0" collapsed="false">
      <c r="B56" s="31"/>
      <c r="C56" s="31"/>
      <c r="D56" s="28"/>
      <c r="E56" s="28"/>
      <c r="F56" s="23"/>
      <c r="G56" s="23"/>
      <c r="H56" s="23"/>
    </row>
    <row r="57" customFormat="false" ht="25.5" hidden="false" customHeight="true" outlineLevel="0" collapsed="false">
      <c r="B57" s="31"/>
      <c r="C57" s="31"/>
      <c r="D57" s="28"/>
      <c r="E57" s="28"/>
      <c r="F57" s="23"/>
      <c r="G57" s="23"/>
      <c r="H57" s="23"/>
    </row>
    <row r="59" customFormat="false" ht="21.75" hidden="false" customHeight="true" outlineLevel="0" collapsed="false">
      <c r="A59" s="20" t="s">
        <v>152</v>
      </c>
      <c r="B59" s="20"/>
      <c r="C59" s="20"/>
      <c r="D59" s="20"/>
      <c r="E59" s="20"/>
      <c r="F59" s="20"/>
      <c r="G59" s="20"/>
      <c r="H59" s="20"/>
    </row>
    <row r="60" customFormat="false" ht="27.75" hidden="false" customHeight="true" outlineLevel="0" collapsed="false">
      <c r="B60" s="7" t="s">
        <v>153</v>
      </c>
      <c r="C60" s="7" t="s">
        <v>154</v>
      </c>
      <c r="D60" s="7" t="s">
        <v>155</v>
      </c>
      <c r="E60" s="7" t="s">
        <v>156</v>
      </c>
      <c r="F60" s="7" t="s">
        <v>157</v>
      </c>
      <c r="G60" s="7"/>
      <c r="H60" s="7"/>
    </row>
    <row r="61" customFormat="false" ht="30" hidden="false" customHeight="true" outlineLevel="0" collapsed="false">
      <c r="B61" s="23"/>
      <c r="C61" s="23"/>
      <c r="D61" s="31"/>
      <c r="E61" s="31"/>
      <c r="F61" s="28"/>
      <c r="G61" s="28"/>
      <c r="H61" s="28"/>
    </row>
    <row r="62" customFormat="false" ht="30" hidden="false" customHeight="true" outlineLevel="0" collapsed="false">
      <c r="B62" s="23"/>
      <c r="C62" s="23"/>
      <c r="D62" s="31"/>
      <c r="E62" s="31"/>
      <c r="F62" s="28"/>
      <c r="G62" s="28"/>
      <c r="H62" s="28"/>
    </row>
    <row r="63" customFormat="false" ht="30" hidden="false" customHeight="true" outlineLevel="0" collapsed="false">
      <c r="B63" s="23"/>
      <c r="C63" s="23"/>
      <c r="D63" s="31"/>
      <c r="E63" s="31"/>
      <c r="F63" s="28"/>
      <c r="G63" s="28"/>
      <c r="H63" s="28"/>
    </row>
    <row r="64" customFormat="false" ht="30" hidden="false" customHeight="true" outlineLevel="0" collapsed="false">
      <c r="B64" s="23"/>
      <c r="C64" s="23"/>
      <c r="D64" s="31"/>
      <c r="E64" s="31"/>
      <c r="F64" s="28"/>
      <c r="G64" s="28"/>
      <c r="H64" s="28"/>
    </row>
    <row r="66" customFormat="false" ht="21.75" hidden="false" customHeight="true" outlineLevel="0" collapsed="false">
      <c r="A66" s="20" t="s">
        <v>158</v>
      </c>
      <c r="B66" s="20"/>
      <c r="C66" s="20"/>
      <c r="D66" s="20"/>
      <c r="E66" s="20"/>
      <c r="F66" s="20"/>
      <c r="G66" s="20"/>
      <c r="H66" s="20"/>
    </row>
    <row r="67" customFormat="false" ht="27.75" hidden="false" customHeight="true" outlineLevel="0" collapsed="false">
      <c r="B67" s="7" t="s">
        <v>159</v>
      </c>
      <c r="C67" s="7" t="s">
        <v>160</v>
      </c>
      <c r="D67" s="7" t="s">
        <v>161</v>
      </c>
      <c r="E67" s="7"/>
      <c r="F67" s="7" t="s">
        <v>162</v>
      </c>
      <c r="G67" s="7" t="s">
        <v>163</v>
      </c>
    </row>
    <row r="68" customFormat="false" ht="30" hidden="false" customHeight="true" outlineLevel="0" collapsed="false">
      <c r="B68" s="8" t="s">
        <v>164</v>
      </c>
      <c r="C68" s="9" t="s">
        <v>165</v>
      </c>
      <c r="D68" s="28"/>
      <c r="E68" s="28"/>
      <c r="F68" s="31"/>
      <c r="G68" s="31"/>
      <c r="H68" s="31"/>
    </row>
    <row r="69" customFormat="false" ht="30" hidden="false" customHeight="true" outlineLevel="0" collapsed="false">
      <c r="B69" s="8" t="s">
        <v>166</v>
      </c>
      <c r="C69" s="9" t="s">
        <v>167</v>
      </c>
      <c r="D69" s="28"/>
      <c r="E69" s="28"/>
      <c r="F69" s="31"/>
      <c r="G69" s="31"/>
      <c r="H69" s="31"/>
    </row>
    <row r="70" customFormat="false" ht="30" hidden="false" customHeight="true" outlineLevel="0" collapsed="false">
      <c r="B70" s="8" t="s">
        <v>168</v>
      </c>
      <c r="C70" s="9" t="s">
        <v>169</v>
      </c>
      <c r="D70" s="28"/>
      <c r="E70" s="28"/>
      <c r="F70" s="31"/>
      <c r="G70" s="31"/>
      <c r="H70" s="31"/>
    </row>
    <row r="71" customFormat="false" ht="30" hidden="false" customHeight="true" outlineLevel="0" collapsed="false">
      <c r="B71" s="8" t="s">
        <v>170</v>
      </c>
      <c r="C71" s="9" t="s">
        <v>171</v>
      </c>
      <c r="D71" s="28"/>
      <c r="E71" s="28"/>
      <c r="F71" s="31"/>
      <c r="G71" s="31"/>
      <c r="H71" s="31"/>
    </row>
    <row r="73" customFormat="false" ht="21.75" hidden="false" customHeight="true" outlineLevel="0" collapsed="false">
      <c r="A73" s="20" t="s">
        <v>172</v>
      </c>
      <c r="B73" s="20"/>
      <c r="C73" s="20"/>
      <c r="D73" s="20"/>
      <c r="E73" s="20"/>
      <c r="F73" s="20"/>
      <c r="G73" s="20"/>
      <c r="H73" s="20"/>
    </row>
    <row r="74" customFormat="false" ht="27.75" hidden="false" customHeight="true" outlineLevel="0" collapsed="false">
      <c r="B74" s="7" t="s">
        <v>173</v>
      </c>
      <c r="C74" s="7"/>
      <c r="D74" s="7"/>
      <c r="E74" s="7"/>
      <c r="F74" s="7"/>
      <c r="G74" s="7" t="s">
        <v>174</v>
      </c>
      <c r="H74" s="7" t="s">
        <v>175</v>
      </c>
    </row>
    <row r="75" customFormat="false" ht="24" hidden="false" customHeight="true" outlineLevel="0" collapsed="false">
      <c r="B75" s="9" t="s">
        <v>176</v>
      </c>
      <c r="C75" s="9"/>
      <c r="D75" s="9"/>
      <c r="E75" s="9"/>
      <c r="F75" s="9"/>
      <c r="G75" s="27" t="n">
        <v>4</v>
      </c>
      <c r="H75" s="31"/>
    </row>
    <row r="76" customFormat="false" ht="24" hidden="false" customHeight="true" outlineLevel="0" collapsed="false">
      <c r="B76" s="9" t="s">
        <v>177</v>
      </c>
      <c r="C76" s="9"/>
      <c r="D76" s="9"/>
      <c r="E76" s="9"/>
      <c r="F76" s="9"/>
      <c r="G76" s="27" t="n">
        <v>3</v>
      </c>
      <c r="H76" s="31"/>
    </row>
    <row r="77" customFormat="false" ht="24" hidden="false" customHeight="true" outlineLevel="0" collapsed="false">
      <c r="B77" s="9" t="s">
        <v>178</v>
      </c>
      <c r="C77" s="9"/>
      <c r="D77" s="9"/>
      <c r="E77" s="9"/>
      <c r="F77" s="9"/>
      <c r="G77" s="27" t="n">
        <v>5</v>
      </c>
      <c r="H77" s="31"/>
    </row>
    <row r="78" customFormat="false" ht="24" hidden="false" customHeight="true" outlineLevel="0" collapsed="false">
      <c r="B78" s="9" t="s">
        <v>179</v>
      </c>
      <c r="C78" s="9"/>
      <c r="D78" s="9"/>
      <c r="E78" s="9"/>
      <c r="F78" s="9"/>
      <c r="G78" s="27" t="n">
        <v>4</v>
      </c>
      <c r="H78" s="31"/>
    </row>
    <row r="79" customFormat="false" ht="24" hidden="false" customHeight="true" outlineLevel="0" collapsed="false">
      <c r="B79" s="9" t="s">
        <v>180</v>
      </c>
      <c r="C79" s="9"/>
      <c r="D79" s="9"/>
      <c r="E79" s="9"/>
      <c r="F79" s="9"/>
      <c r="G79" s="27" t="n">
        <v>2</v>
      </c>
      <c r="H79" s="31"/>
    </row>
    <row r="80" customFormat="false" ht="24" hidden="false" customHeight="true" outlineLevel="0" collapsed="false">
      <c r="B80" s="9" t="s">
        <v>181</v>
      </c>
      <c r="C80" s="9"/>
      <c r="D80" s="9"/>
      <c r="E80" s="9"/>
      <c r="F80" s="9"/>
      <c r="G80" s="27" t="n">
        <v>2</v>
      </c>
      <c r="H80" s="31"/>
    </row>
    <row r="81" customFormat="false" ht="14.25" hidden="false" customHeight="false" outlineLevel="0" collapsed="false">
      <c r="B81" s="32" t="s">
        <v>182</v>
      </c>
      <c r="C81" s="32"/>
      <c r="D81" s="32"/>
      <c r="E81" s="32"/>
      <c r="F81" s="32"/>
      <c r="G81" s="15" t="n">
        <f aca="false">SUM(G75:G80)</f>
        <v>20</v>
      </c>
      <c r="H81" s="15" t="n">
        <f aca="false">SUM(H75:H80)</f>
        <v>0</v>
      </c>
    </row>
  </sheetData>
  <mergeCells count="61">
    <mergeCell ref="A1:H1"/>
    <mergeCell ref="A2:H2"/>
    <mergeCell ref="A4:H4"/>
    <mergeCell ref="C5:H5"/>
    <mergeCell ref="C6:H6"/>
    <mergeCell ref="C7:H7"/>
    <mergeCell ref="C8:H8"/>
    <mergeCell ref="A10:H10"/>
    <mergeCell ref="D11:H11"/>
    <mergeCell ref="D12:H12"/>
    <mergeCell ref="D13:H13"/>
    <mergeCell ref="D14:H14"/>
    <mergeCell ref="A15:H15"/>
    <mergeCell ref="A17:H17"/>
    <mergeCell ref="F18:H18"/>
    <mergeCell ref="F19:H19"/>
    <mergeCell ref="F20:H20"/>
    <mergeCell ref="F21:H21"/>
    <mergeCell ref="F22:H22"/>
    <mergeCell ref="F23:H23"/>
    <mergeCell ref="C31:H31"/>
    <mergeCell ref="C32:H32"/>
    <mergeCell ref="A34:H34"/>
    <mergeCell ref="F35:H35"/>
    <mergeCell ref="F36:H36"/>
    <mergeCell ref="G39:H39"/>
    <mergeCell ref="G40:H40"/>
    <mergeCell ref="G41:H41"/>
    <mergeCell ref="G42:H42"/>
    <mergeCell ref="G43:H43"/>
    <mergeCell ref="G44:H44"/>
    <mergeCell ref="G45:H45"/>
    <mergeCell ref="D50:E50"/>
    <mergeCell ref="D51:E51"/>
    <mergeCell ref="D52:E52"/>
    <mergeCell ref="D53:E53"/>
    <mergeCell ref="D54:E54"/>
    <mergeCell ref="D55:E55"/>
    <mergeCell ref="D56:E56"/>
    <mergeCell ref="D57:E57"/>
    <mergeCell ref="A59:H59"/>
    <mergeCell ref="F60:H60"/>
    <mergeCell ref="F61:H61"/>
    <mergeCell ref="F62:H62"/>
    <mergeCell ref="F63:H63"/>
    <mergeCell ref="F64:H64"/>
    <mergeCell ref="A66:H66"/>
    <mergeCell ref="D67:E67"/>
    <mergeCell ref="D68:E68"/>
    <mergeCell ref="D69:E69"/>
    <mergeCell ref="D70:E70"/>
    <mergeCell ref="D71:E71"/>
    <mergeCell ref="A73:H73"/>
    <mergeCell ref="B74:F74"/>
    <mergeCell ref="B75:F75"/>
    <mergeCell ref="B76:F76"/>
    <mergeCell ref="B77:F77"/>
    <mergeCell ref="B78:F78"/>
    <mergeCell ref="B79:F79"/>
    <mergeCell ref="B80:F80"/>
    <mergeCell ref="B81:F81"/>
  </mergeCells>
  <dataValidations count="2">
    <dataValidation allowBlank="true" error="Choisir dans la liste" errorStyle="stop" operator="between" showDropDown="false" showErrorMessage="false" showInputMessage="false" sqref="C52:C57" type="list">
      <formula1>"FP,FC"</formula1>
      <formula2>0</formula2>
    </dataValidation>
    <dataValidation allowBlank="true" error="Choisir dans la liste" errorStyle="stop" operator="between" showDropDown="false" showErrorMessage="false" showInputMessage="false" sqref="F68:H71" type="list">
      <formula1>"x,"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&amp;R&amp;8 &amp;K888888&amp;A  ·  page &amp;P/&amp;N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8AD0"/>
    <pageSetUpPr fitToPage="true"/>
  </sheetPr>
  <dimension ref="A1:H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5" min="3" style="0" width="22"/>
    <col collapsed="false" customWidth="true" hidden="false" outlineLevel="0" max="6" min="6" style="0" width="20"/>
    <col collapsed="false" customWidth="true" hidden="false" outlineLevel="0" max="8" min="7" style="0" width="12"/>
  </cols>
  <sheetData>
    <row r="1" customFormat="false" ht="30" hidden="false" customHeight="true" outlineLevel="0" collapsed="false">
      <c r="A1" s="1" t="s">
        <v>188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6" t="s">
        <v>189</v>
      </c>
      <c r="B2" s="6"/>
      <c r="C2" s="6"/>
      <c r="D2" s="6"/>
      <c r="E2" s="6"/>
      <c r="F2" s="6"/>
      <c r="G2" s="6"/>
      <c r="H2" s="6"/>
    </row>
    <row r="4" customFormat="false" ht="21.75" hidden="false" customHeight="true" outlineLevel="0" collapsed="false">
      <c r="A4" s="20" t="s">
        <v>113</v>
      </c>
      <c r="B4" s="20"/>
      <c r="C4" s="20"/>
      <c r="D4" s="20"/>
      <c r="E4" s="20"/>
      <c r="F4" s="20"/>
      <c r="G4" s="20"/>
      <c r="H4" s="20"/>
    </row>
    <row r="5" customFormat="false" ht="33" hidden="false" customHeight="true" outlineLevel="0" collapsed="false">
      <c r="B5" s="21" t="s">
        <v>23</v>
      </c>
      <c r="C5" s="22" t="s">
        <v>52</v>
      </c>
      <c r="D5" s="22"/>
      <c r="E5" s="22"/>
      <c r="F5" s="22"/>
      <c r="G5" s="22"/>
      <c r="H5" s="22"/>
    </row>
    <row r="6" customFormat="false" ht="33" hidden="false" customHeight="true" outlineLevel="0" collapsed="false">
      <c r="B6" s="21" t="s">
        <v>24</v>
      </c>
      <c r="C6" s="22" t="s">
        <v>53</v>
      </c>
      <c r="D6" s="22"/>
      <c r="E6" s="22"/>
      <c r="F6" s="22"/>
      <c r="G6" s="22"/>
      <c r="H6" s="22"/>
    </row>
    <row r="7" customFormat="false" ht="33" hidden="false" customHeight="true" outlineLevel="0" collapsed="false">
      <c r="B7" s="21" t="s">
        <v>25</v>
      </c>
      <c r="C7" s="22" t="s">
        <v>54</v>
      </c>
      <c r="D7" s="22"/>
      <c r="E7" s="22"/>
      <c r="F7" s="22"/>
      <c r="G7" s="22"/>
      <c r="H7" s="22"/>
    </row>
    <row r="8" customFormat="false" ht="33" hidden="false" customHeight="true" outlineLevel="0" collapsed="false">
      <c r="B8" s="21" t="s">
        <v>26</v>
      </c>
      <c r="C8" s="22" t="s">
        <v>55</v>
      </c>
      <c r="D8" s="22"/>
      <c r="E8" s="22"/>
      <c r="F8" s="22"/>
      <c r="G8" s="22"/>
      <c r="H8" s="22"/>
    </row>
    <row r="10" customFormat="false" ht="21.75" hidden="false" customHeight="true" outlineLevel="0" collapsed="false">
      <c r="A10" s="20" t="s">
        <v>114</v>
      </c>
      <c r="B10" s="20"/>
      <c r="C10" s="20"/>
      <c r="D10" s="20"/>
      <c r="E10" s="20"/>
      <c r="F10" s="20"/>
      <c r="G10" s="20"/>
      <c r="H10" s="20"/>
    </row>
    <row r="11" customFormat="false" ht="27.75" hidden="false" customHeight="true" outlineLevel="0" collapsed="false">
      <c r="B11" s="7" t="s">
        <v>115</v>
      </c>
      <c r="C11" s="7" t="s">
        <v>116</v>
      </c>
      <c r="D11" s="7" t="s">
        <v>117</v>
      </c>
      <c r="E11" s="7"/>
      <c r="F11" s="7"/>
      <c r="G11" s="7"/>
      <c r="H11" s="7"/>
    </row>
    <row r="12" customFormat="false" ht="25.5" hidden="false" customHeight="true" outlineLevel="0" collapsed="false">
      <c r="B12" s="8" t="s">
        <v>118</v>
      </c>
      <c r="C12" s="23"/>
      <c r="D12" s="24" t="s">
        <v>119</v>
      </c>
      <c r="E12" s="24"/>
      <c r="F12" s="24"/>
      <c r="G12" s="24"/>
      <c r="H12" s="24"/>
    </row>
    <row r="13" customFormat="false" ht="25.5" hidden="false" customHeight="true" outlineLevel="0" collapsed="false">
      <c r="B13" s="8" t="s">
        <v>120</v>
      </c>
      <c r="C13" s="23"/>
      <c r="D13" s="24" t="s">
        <v>121</v>
      </c>
      <c r="E13" s="24"/>
      <c r="F13" s="24"/>
      <c r="G13" s="24"/>
      <c r="H13" s="24"/>
    </row>
    <row r="14" customFormat="false" ht="25.5" hidden="false" customHeight="true" outlineLevel="0" collapsed="false">
      <c r="B14" s="8" t="s">
        <v>122</v>
      </c>
      <c r="C14" s="23"/>
      <c r="D14" s="24" t="s">
        <v>123</v>
      </c>
      <c r="E14" s="24"/>
      <c r="F14" s="24"/>
      <c r="G14" s="24"/>
      <c r="H14" s="24"/>
    </row>
    <row r="15" customFormat="false" ht="15" hidden="false" customHeight="true" outlineLevel="0" collapsed="false">
      <c r="A15" s="12" t="s">
        <v>124</v>
      </c>
      <c r="B15" s="12"/>
      <c r="C15" s="12"/>
      <c r="D15" s="12"/>
      <c r="E15" s="12"/>
      <c r="F15" s="12"/>
      <c r="G15" s="12"/>
      <c r="H15" s="12"/>
    </row>
    <row r="17" customFormat="false" ht="21.75" hidden="false" customHeight="true" outlineLevel="0" collapsed="false">
      <c r="A17" s="20" t="s">
        <v>125</v>
      </c>
      <c r="B17" s="20"/>
      <c r="C17" s="20"/>
      <c r="D17" s="20"/>
      <c r="E17" s="20"/>
      <c r="F17" s="20"/>
      <c r="G17" s="20"/>
      <c r="H17" s="20"/>
    </row>
    <row r="18" customFormat="false" ht="15" hidden="false" customHeight="true" outlineLevel="0" collapsed="false">
      <c r="F18" s="10" t="s">
        <v>126</v>
      </c>
      <c r="G18" s="10"/>
      <c r="H18" s="10"/>
    </row>
    <row r="19" customFormat="false" ht="25.5" hidden="false" customHeight="true" outlineLevel="0" collapsed="false">
      <c r="F19" s="25"/>
      <c r="G19" s="25"/>
      <c r="H19" s="25"/>
    </row>
    <row r="20" customFormat="false" ht="15" hidden="false" customHeight="true" outlineLevel="0" collapsed="false">
      <c r="F20" s="10" t="s">
        <v>127</v>
      </c>
      <c r="G20" s="10"/>
      <c r="H20" s="10"/>
    </row>
    <row r="21" customFormat="false" ht="25.5" hidden="false" customHeight="true" outlineLevel="0" collapsed="false">
      <c r="F21" s="25"/>
      <c r="G21" s="25"/>
      <c r="H21" s="25"/>
    </row>
    <row r="22" customFormat="false" ht="15" hidden="false" customHeight="true" outlineLevel="0" collapsed="false">
      <c r="F22" s="10" t="s">
        <v>128</v>
      </c>
      <c r="G22" s="10"/>
      <c r="H22" s="10"/>
    </row>
    <row r="23" customFormat="false" ht="25.5" hidden="false" customHeight="true" outlineLevel="0" collapsed="false">
      <c r="F23" s="25"/>
      <c r="G23" s="25"/>
      <c r="H23" s="25"/>
    </row>
    <row r="31" customFormat="false" ht="24" hidden="false" customHeight="true" outlineLevel="0" collapsed="false">
      <c r="B31" s="21" t="s">
        <v>129</v>
      </c>
      <c r="C31" s="25"/>
      <c r="D31" s="25"/>
      <c r="E31" s="25"/>
      <c r="F31" s="25"/>
      <c r="G31" s="25"/>
      <c r="H31" s="25"/>
    </row>
    <row r="32" customFormat="false" ht="24" hidden="false" customHeight="true" outlineLevel="0" collapsed="false">
      <c r="B32" s="21" t="s">
        <v>130</v>
      </c>
      <c r="C32" s="25"/>
      <c r="D32" s="25"/>
      <c r="E32" s="25"/>
      <c r="F32" s="25"/>
      <c r="G32" s="25"/>
      <c r="H32" s="25"/>
    </row>
    <row r="34" customFormat="false" ht="21.75" hidden="false" customHeight="true" outlineLevel="0" collapsed="false">
      <c r="A34" s="20" t="s">
        <v>131</v>
      </c>
      <c r="B34" s="20"/>
      <c r="C34" s="20"/>
      <c r="D34" s="20"/>
      <c r="E34" s="20"/>
      <c r="F34" s="20"/>
      <c r="G34" s="20"/>
      <c r="H34" s="20"/>
    </row>
    <row r="35" customFormat="false" ht="14.25" hidden="false" customHeight="false" outlineLevel="0" collapsed="false">
      <c r="F35" s="26" t="s">
        <v>132</v>
      </c>
      <c r="G35" s="26"/>
      <c r="H35" s="26"/>
    </row>
    <row r="36" customFormat="false" ht="24" hidden="false" customHeight="true" outlineLevel="0" collapsed="false">
      <c r="F36" s="25"/>
      <c r="G36" s="25"/>
      <c r="H36" s="25"/>
    </row>
    <row r="38" customFormat="false" ht="14.25" hidden="false" customHeight="false" outlineLevel="0" collapsed="false">
      <c r="F38" s="3" t="s">
        <v>133</v>
      </c>
    </row>
    <row r="39" customFormat="false" ht="27.75" hidden="false" customHeight="true" outlineLevel="0" collapsed="false">
      <c r="F39" s="7" t="s">
        <v>134</v>
      </c>
      <c r="G39" s="7" t="s">
        <v>60</v>
      </c>
      <c r="H39" s="7"/>
    </row>
    <row r="40" customFormat="false" ht="14.25" hidden="false" customHeight="false" outlineLevel="0" collapsed="false">
      <c r="F40" s="27" t="s">
        <v>135</v>
      </c>
      <c r="G40" s="28"/>
      <c r="H40" s="28"/>
    </row>
    <row r="41" customFormat="false" ht="14.25" hidden="false" customHeight="false" outlineLevel="0" collapsed="false">
      <c r="F41" s="27" t="s">
        <v>136</v>
      </c>
      <c r="G41" s="28"/>
      <c r="H41" s="28"/>
    </row>
    <row r="42" customFormat="false" ht="14.25" hidden="false" customHeight="false" outlineLevel="0" collapsed="false">
      <c r="F42" s="27" t="s">
        <v>137</v>
      </c>
      <c r="G42" s="28"/>
      <c r="H42" s="28"/>
    </row>
    <row r="43" customFormat="false" ht="14.25" hidden="false" customHeight="false" outlineLevel="0" collapsed="false">
      <c r="F43" s="27" t="s">
        <v>138</v>
      </c>
      <c r="G43" s="28"/>
      <c r="H43" s="28"/>
    </row>
    <row r="44" customFormat="false" ht="14.25" hidden="false" customHeight="false" outlineLevel="0" collapsed="false">
      <c r="F44" s="27" t="s">
        <v>139</v>
      </c>
      <c r="G44" s="28"/>
      <c r="H44" s="28"/>
    </row>
    <row r="45" customFormat="false" ht="14.25" hidden="false" customHeight="false" outlineLevel="0" collapsed="false">
      <c r="F45" s="27" t="s">
        <v>140</v>
      </c>
      <c r="G45" s="28"/>
      <c r="H45" s="28"/>
    </row>
    <row r="49" customFormat="false" ht="14.25" hidden="false" customHeight="false" outlineLevel="0" collapsed="false">
      <c r="B49" s="3" t="s">
        <v>141</v>
      </c>
    </row>
    <row r="50" customFormat="false" ht="27.75" hidden="false" customHeight="true" outlineLevel="0" collapsed="false">
      <c r="B50" s="7" t="s">
        <v>134</v>
      </c>
      <c r="C50" s="7" t="s">
        <v>142</v>
      </c>
      <c r="D50" s="7" t="s">
        <v>143</v>
      </c>
      <c r="E50" s="7"/>
      <c r="F50" s="7" t="s">
        <v>144</v>
      </c>
      <c r="G50" s="7" t="s">
        <v>145</v>
      </c>
    </row>
    <row r="51" customFormat="false" ht="30" hidden="false" customHeight="true" outlineLevel="0" collapsed="false">
      <c r="B51" s="29" t="s">
        <v>146</v>
      </c>
      <c r="C51" s="29" t="s">
        <v>147</v>
      </c>
      <c r="D51" s="24" t="s">
        <v>148</v>
      </c>
      <c r="E51" s="24"/>
      <c r="F51" s="30" t="s">
        <v>149</v>
      </c>
      <c r="G51" s="29" t="s">
        <v>150</v>
      </c>
      <c r="H51" s="29" t="s">
        <v>151</v>
      </c>
    </row>
    <row r="52" customFormat="false" ht="25.5" hidden="false" customHeight="true" outlineLevel="0" collapsed="false">
      <c r="B52" s="31"/>
      <c r="C52" s="31"/>
      <c r="D52" s="28"/>
      <c r="E52" s="28"/>
      <c r="F52" s="23"/>
      <c r="G52" s="23"/>
      <c r="H52" s="23"/>
    </row>
    <row r="53" customFormat="false" ht="25.5" hidden="false" customHeight="true" outlineLevel="0" collapsed="false">
      <c r="B53" s="31"/>
      <c r="C53" s="31"/>
      <c r="D53" s="28"/>
      <c r="E53" s="28"/>
      <c r="F53" s="23"/>
      <c r="G53" s="23"/>
      <c r="H53" s="23"/>
    </row>
    <row r="54" customFormat="false" ht="25.5" hidden="false" customHeight="true" outlineLevel="0" collapsed="false">
      <c r="B54" s="31"/>
      <c r="C54" s="31"/>
      <c r="D54" s="28"/>
      <c r="E54" s="28"/>
      <c r="F54" s="23"/>
      <c r="G54" s="23"/>
      <c r="H54" s="23"/>
    </row>
    <row r="55" customFormat="false" ht="25.5" hidden="false" customHeight="true" outlineLevel="0" collapsed="false">
      <c r="B55" s="31"/>
      <c r="C55" s="31"/>
      <c r="D55" s="28"/>
      <c r="E55" s="28"/>
      <c r="F55" s="23"/>
      <c r="G55" s="23"/>
      <c r="H55" s="23"/>
    </row>
    <row r="56" customFormat="false" ht="25.5" hidden="false" customHeight="true" outlineLevel="0" collapsed="false">
      <c r="B56" s="31"/>
      <c r="C56" s="31"/>
      <c r="D56" s="28"/>
      <c r="E56" s="28"/>
      <c r="F56" s="23"/>
      <c r="G56" s="23"/>
      <c r="H56" s="23"/>
    </row>
    <row r="57" customFormat="false" ht="25.5" hidden="false" customHeight="true" outlineLevel="0" collapsed="false">
      <c r="B57" s="31"/>
      <c r="C57" s="31"/>
      <c r="D57" s="28"/>
      <c r="E57" s="28"/>
      <c r="F57" s="23"/>
      <c r="G57" s="23"/>
      <c r="H57" s="23"/>
    </row>
    <row r="59" customFormat="false" ht="21.75" hidden="false" customHeight="true" outlineLevel="0" collapsed="false">
      <c r="A59" s="20" t="s">
        <v>152</v>
      </c>
      <c r="B59" s="20"/>
      <c r="C59" s="20"/>
      <c r="D59" s="20"/>
      <c r="E59" s="20"/>
      <c r="F59" s="20"/>
      <c r="G59" s="20"/>
      <c r="H59" s="20"/>
    </row>
    <row r="60" customFormat="false" ht="27.75" hidden="false" customHeight="true" outlineLevel="0" collapsed="false">
      <c r="B60" s="7" t="s">
        <v>153</v>
      </c>
      <c r="C60" s="7" t="s">
        <v>154</v>
      </c>
      <c r="D60" s="7" t="s">
        <v>155</v>
      </c>
      <c r="E60" s="7" t="s">
        <v>156</v>
      </c>
      <c r="F60" s="7" t="s">
        <v>157</v>
      </c>
      <c r="G60" s="7"/>
      <c r="H60" s="7"/>
    </row>
    <row r="61" customFormat="false" ht="30" hidden="false" customHeight="true" outlineLevel="0" collapsed="false">
      <c r="B61" s="23"/>
      <c r="C61" s="23"/>
      <c r="D61" s="31"/>
      <c r="E61" s="31"/>
      <c r="F61" s="28"/>
      <c r="G61" s="28"/>
      <c r="H61" s="28"/>
    </row>
    <row r="62" customFormat="false" ht="30" hidden="false" customHeight="true" outlineLevel="0" collapsed="false">
      <c r="B62" s="23"/>
      <c r="C62" s="23"/>
      <c r="D62" s="31"/>
      <c r="E62" s="31"/>
      <c r="F62" s="28"/>
      <c r="G62" s="28"/>
      <c r="H62" s="28"/>
    </row>
    <row r="63" customFormat="false" ht="30" hidden="false" customHeight="true" outlineLevel="0" collapsed="false">
      <c r="B63" s="23"/>
      <c r="C63" s="23"/>
      <c r="D63" s="31"/>
      <c r="E63" s="31"/>
      <c r="F63" s="28"/>
      <c r="G63" s="28"/>
      <c r="H63" s="28"/>
    </row>
    <row r="64" customFormat="false" ht="30" hidden="false" customHeight="true" outlineLevel="0" collapsed="false">
      <c r="B64" s="23"/>
      <c r="C64" s="23"/>
      <c r="D64" s="31"/>
      <c r="E64" s="31"/>
      <c r="F64" s="28"/>
      <c r="G64" s="28"/>
      <c r="H64" s="28"/>
    </row>
    <row r="66" customFormat="false" ht="21.75" hidden="false" customHeight="true" outlineLevel="0" collapsed="false">
      <c r="A66" s="20" t="s">
        <v>158</v>
      </c>
      <c r="B66" s="20"/>
      <c r="C66" s="20"/>
      <c r="D66" s="20"/>
      <c r="E66" s="20"/>
      <c r="F66" s="20"/>
      <c r="G66" s="20"/>
      <c r="H66" s="20"/>
    </row>
    <row r="67" customFormat="false" ht="27.75" hidden="false" customHeight="true" outlineLevel="0" collapsed="false">
      <c r="B67" s="7" t="s">
        <v>159</v>
      </c>
      <c r="C67" s="7" t="s">
        <v>160</v>
      </c>
      <c r="D67" s="7" t="s">
        <v>161</v>
      </c>
      <c r="E67" s="7"/>
      <c r="F67" s="7" t="s">
        <v>162</v>
      </c>
      <c r="G67" s="7" t="s">
        <v>163</v>
      </c>
    </row>
    <row r="68" customFormat="false" ht="30" hidden="false" customHeight="true" outlineLevel="0" collapsed="false">
      <c r="B68" s="8" t="s">
        <v>164</v>
      </c>
      <c r="C68" s="9" t="s">
        <v>165</v>
      </c>
      <c r="D68" s="28"/>
      <c r="E68" s="28"/>
      <c r="F68" s="31"/>
      <c r="G68" s="31"/>
      <c r="H68" s="31"/>
    </row>
    <row r="69" customFormat="false" ht="30" hidden="false" customHeight="true" outlineLevel="0" collapsed="false">
      <c r="B69" s="8" t="s">
        <v>166</v>
      </c>
      <c r="C69" s="9" t="s">
        <v>167</v>
      </c>
      <c r="D69" s="28"/>
      <c r="E69" s="28"/>
      <c r="F69" s="31"/>
      <c r="G69" s="31"/>
      <c r="H69" s="31"/>
    </row>
    <row r="70" customFormat="false" ht="30" hidden="false" customHeight="true" outlineLevel="0" collapsed="false">
      <c r="B70" s="8" t="s">
        <v>168</v>
      </c>
      <c r="C70" s="9" t="s">
        <v>169</v>
      </c>
      <c r="D70" s="28"/>
      <c r="E70" s="28"/>
      <c r="F70" s="31"/>
      <c r="G70" s="31"/>
      <c r="H70" s="31"/>
    </row>
    <row r="71" customFormat="false" ht="30" hidden="false" customHeight="true" outlineLevel="0" collapsed="false">
      <c r="B71" s="8" t="s">
        <v>170</v>
      </c>
      <c r="C71" s="9" t="s">
        <v>171</v>
      </c>
      <c r="D71" s="28"/>
      <c r="E71" s="28"/>
      <c r="F71" s="31"/>
      <c r="G71" s="31"/>
      <c r="H71" s="31"/>
    </row>
    <row r="73" customFormat="false" ht="21.75" hidden="false" customHeight="true" outlineLevel="0" collapsed="false">
      <c r="A73" s="20" t="s">
        <v>172</v>
      </c>
      <c r="B73" s="20"/>
      <c r="C73" s="20"/>
      <c r="D73" s="20"/>
      <c r="E73" s="20"/>
      <c r="F73" s="20"/>
      <c r="G73" s="20"/>
      <c r="H73" s="20"/>
    </row>
    <row r="74" customFormat="false" ht="27.75" hidden="false" customHeight="true" outlineLevel="0" collapsed="false">
      <c r="B74" s="7" t="s">
        <v>173</v>
      </c>
      <c r="C74" s="7"/>
      <c r="D74" s="7"/>
      <c r="E74" s="7"/>
      <c r="F74" s="7"/>
      <c r="G74" s="7" t="s">
        <v>174</v>
      </c>
      <c r="H74" s="7" t="s">
        <v>175</v>
      </c>
    </row>
    <row r="75" customFormat="false" ht="24" hidden="false" customHeight="true" outlineLevel="0" collapsed="false">
      <c r="B75" s="9" t="s">
        <v>176</v>
      </c>
      <c r="C75" s="9"/>
      <c r="D75" s="9"/>
      <c r="E75" s="9"/>
      <c r="F75" s="9"/>
      <c r="G75" s="27" t="n">
        <v>4</v>
      </c>
      <c r="H75" s="31"/>
    </row>
    <row r="76" customFormat="false" ht="24" hidden="false" customHeight="true" outlineLevel="0" collapsed="false">
      <c r="B76" s="9" t="s">
        <v>177</v>
      </c>
      <c r="C76" s="9"/>
      <c r="D76" s="9"/>
      <c r="E76" s="9"/>
      <c r="F76" s="9"/>
      <c r="G76" s="27" t="n">
        <v>3</v>
      </c>
      <c r="H76" s="31"/>
    </row>
    <row r="77" customFormat="false" ht="24" hidden="false" customHeight="true" outlineLevel="0" collapsed="false">
      <c r="B77" s="9" t="s">
        <v>178</v>
      </c>
      <c r="C77" s="9"/>
      <c r="D77" s="9"/>
      <c r="E77" s="9"/>
      <c r="F77" s="9"/>
      <c r="G77" s="27" t="n">
        <v>5</v>
      </c>
      <c r="H77" s="31"/>
    </row>
    <row r="78" customFormat="false" ht="24" hidden="false" customHeight="true" outlineLevel="0" collapsed="false">
      <c r="B78" s="9" t="s">
        <v>179</v>
      </c>
      <c r="C78" s="9"/>
      <c r="D78" s="9"/>
      <c r="E78" s="9"/>
      <c r="F78" s="9"/>
      <c r="G78" s="27" t="n">
        <v>4</v>
      </c>
      <c r="H78" s="31"/>
    </row>
    <row r="79" customFormat="false" ht="24" hidden="false" customHeight="true" outlineLevel="0" collapsed="false">
      <c r="B79" s="9" t="s">
        <v>180</v>
      </c>
      <c r="C79" s="9"/>
      <c r="D79" s="9"/>
      <c r="E79" s="9"/>
      <c r="F79" s="9"/>
      <c r="G79" s="27" t="n">
        <v>2</v>
      </c>
      <c r="H79" s="31"/>
    </row>
    <row r="80" customFormat="false" ht="24" hidden="false" customHeight="true" outlineLevel="0" collapsed="false">
      <c r="B80" s="9" t="s">
        <v>181</v>
      </c>
      <c r="C80" s="9"/>
      <c r="D80" s="9"/>
      <c r="E80" s="9"/>
      <c r="F80" s="9"/>
      <c r="G80" s="27" t="n">
        <v>2</v>
      </c>
      <c r="H80" s="31"/>
    </row>
    <row r="81" customFormat="false" ht="14.25" hidden="false" customHeight="false" outlineLevel="0" collapsed="false">
      <c r="B81" s="32" t="s">
        <v>182</v>
      </c>
      <c r="C81" s="32"/>
      <c r="D81" s="32"/>
      <c r="E81" s="32"/>
      <c r="F81" s="32"/>
      <c r="G81" s="15" t="n">
        <f aca="false">SUM(G75:G80)</f>
        <v>20</v>
      </c>
      <c r="H81" s="15" t="n">
        <f aca="false">SUM(H75:H80)</f>
        <v>0</v>
      </c>
    </row>
  </sheetData>
  <mergeCells count="61">
    <mergeCell ref="A1:H1"/>
    <mergeCell ref="A2:H2"/>
    <mergeCell ref="A4:H4"/>
    <mergeCell ref="C5:H5"/>
    <mergeCell ref="C6:H6"/>
    <mergeCell ref="C7:H7"/>
    <mergeCell ref="C8:H8"/>
    <mergeCell ref="A10:H10"/>
    <mergeCell ref="D11:H11"/>
    <mergeCell ref="D12:H12"/>
    <mergeCell ref="D13:H13"/>
    <mergeCell ref="D14:H14"/>
    <mergeCell ref="A15:H15"/>
    <mergeCell ref="A17:H17"/>
    <mergeCell ref="F18:H18"/>
    <mergeCell ref="F19:H19"/>
    <mergeCell ref="F20:H20"/>
    <mergeCell ref="F21:H21"/>
    <mergeCell ref="F22:H22"/>
    <mergeCell ref="F23:H23"/>
    <mergeCell ref="C31:H31"/>
    <mergeCell ref="C32:H32"/>
    <mergeCell ref="A34:H34"/>
    <mergeCell ref="F35:H35"/>
    <mergeCell ref="F36:H36"/>
    <mergeCell ref="G39:H39"/>
    <mergeCell ref="G40:H40"/>
    <mergeCell ref="G41:H41"/>
    <mergeCell ref="G42:H42"/>
    <mergeCell ref="G43:H43"/>
    <mergeCell ref="G44:H44"/>
    <mergeCell ref="G45:H45"/>
    <mergeCell ref="D50:E50"/>
    <mergeCell ref="D51:E51"/>
    <mergeCell ref="D52:E52"/>
    <mergeCell ref="D53:E53"/>
    <mergeCell ref="D54:E54"/>
    <mergeCell ref="D55:E55"/>
    <mergeCell ref="D56:E56"/>
    <mergeCell ref="D57:E57"/>
    <mergeCell ref="A59:H59"/>
    <mergeCell ref="F60:H60"/>
    <mergeCell ref="F61:H61"/>
    <mergeCell ref="F62:H62"/>
    <mergeCell ref="F63:H63"/>
    <mergeCell ref="F64:H64"/>
    <mergeCell ref="A66:H66"/>
    <mergeCell ref="D67:E67"/>
    <mergeCell ref="D68:E68"/>
    <mergeCell ref="D69:E69"/>
    <mergeCell ref="D70:E70"/>
    <mergeCell ref="D71:E71"/>
    <mergeCell ref="A73:H73"/>
    <mergeCell ref="B74:F74"/>
    <mergeCell ref="B75:F75"/>
    <mergeCell ref="B76:F76"/>
    <mergeCell ref="B77:F77"/>
    <mergeCell ref="B78:F78"/>
    <mergeCell ref="B79:F79"/>
    <mergeCell ref="B80:F80"/>
    <mergeCell ref="B81:F81"/>
  </mergeCells>
  <dataValidations count="2">
    <dataValidation allowBlank="true" error="Choisir dans la liste" errorStyle="stop" operator="between" showDropDown="false" showErrorMessage="false" showInputMessage="false" sqref="C52:C57" type="list">
      <formula1>"FP,FC"</formula1>
      <formula2>0</formula2>
    </dataValidation>
    <dataValidation allowBlank="true" error="Choisir dans la liste" errorStyle="stop" operator="between" showDropDown="false" showErrorMessage="false" showInputMessage="false" sqref="F68:H71" type="list">
      <formula1>"x,"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&amp;R&amp;8 &amp;K888888&amp;A  ·  page &amp;P/&amp;N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8AD0"/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14" activeCellId="0" sqref="C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190</v>
      </c>
      <c r="B1" s="1"/>
      <c r="C1" s="1"/>
      <c r="D1" s="1"/>
      <c r="E1" s="1"/>
    </row>
    <row r="2" customFormat="false" ht="19.5" hidden="false" customHeight="true" outlineLevel="0" collapsed="false">
      <c r="A2" s="6" t="s">
        <v>191</v>
      </c>
      <c r="B2" s="6"/>
      <c r="C2" s="6"/>
      <c r="D2" s="6"/>
      <c r="E2" s="6"/>
    </row>
    <row r="4" customFormat="false" ht="27.75" hidden="false" customHeight="true" outlineLevel="0" collapsed="false">
      <c r="B4" s="7" t="s">
        <v>192</v>
      </c>
      <c r="C4" s="7" t="s">
        <v>21</v>
      </c>
      <c r="D4" s="7" t="s">
        <v>22</v>
      </c>
      <c r="E4" s="7" t="s">
        <v>193</v>
      </c>
    </row>
    <row r="5" customFormat="false" ht="25.5" hidden="false" customHeight="true" outlineLevel="0" collapsed="false">
      <c r="B5" s="15" t="n">
        <v>1</v>
      </c>
      <c r="C5" s="9" t="s">
        <v>27</v>
      </c>
      <c r="D5" s="9" t="s">
        <v>28</v>
      </c>
      <c r="E5" s="27" t="n">
        <f aca="false">'Équipe 1'!H81</f>
        <v>0</v>
      </c>
    </row>
    <row r="6" customFormat="false" ht="25.5" hidden="false" customHeight="true" outlineLevel="0" collapsed="false">
      <c r="B6" s="15" t="n">
        <v>2</v>
      </c>
      <c r="C6" s="9" t="s">
        <v>33</v>
      </c>
      <c r="D6" s="9" t="s">
        <v>28</v>
      </c>
      <c r="E6" s="27" t="n">
        <f aca="false">'Équipe 2'!H81</f>
        <v>0</v>
      </c>
    </row>
    <row r="7" customFormat="false" ht="25.5" hidden="false" customHeight="true" outlineLevel="0" collapsed="false">
      <c r="B7" s="15" t="n">
        <v>3</v>
      </c>
      <c r="C7" s="9" t="s">
        <v>38</v>
      </c>
      <c r="D7" s="9" t="s">
        <v>39</v>
      </c>
      <c r="E7" s="27" t="n">
        <f aca="false">'Équipe 3'!H81</f>
        <v>0</v>
      </c>
    </row>
    <row r="8" customFormat="false" ht="25.5" hidden="false" customHeight="true" outlineLevel="0" collapsed="false">
      <c r="B8" s="15" t="n">
        <v>4</v>
      </c>
      <c r="C8" s="9" t="s">
        <v>44</v>
      </c>
      <c r="D8" s="9" t="s">
        <v>45</v>
      </c>
      <c r="E8" s="27" t="n">
        <f aca="false">'Équipe 4'!H81</f>
        <v>0</v>
      </c>
    </row>
    <row r="9" customFormat="false" ht="25.5" hidden="false" customHeight="true" outlineLevel="0" collapsed="false">
      <c r="B9" s="15" t="n">
        <v>5</v>
      </c>
      <c r="C9" s="9" t="s">
        <v>50</v>
      </c>
      <c r="D9" s="9" t="s">
        <v>51</v>
      </c>
      <c r="E9" s="27" t="n">
        <f aca="false">'Équipe 5'!H81</f>
        <v>0</v>
      </c>
    </row>
    <row r="10" customFormat="false" ht="25.5" hidden="false" customHeight="true" outlineLevel="0" collapsed="false">
      <c r="D10" s="32" t="s">
        <v>194</v>
      </c>
      <c r="E10" s="15" t="n">
        <f aca="false">AVERAGE(E5:E9)</f>
        <v>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4" right="0.4" top="0.5" bottom="0.5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&amp;R&amp;8 &amp;K888888&amp;A  ·  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2026-10-05T06:55:50Z</dcterms:created>
  <dc:creator>openpyxl</dc:creator>
  <dc:description/>
  <dc:language>en-US</dc:language>
  <cp:lastModifiedBy>Hakim</cp:lastModifiedBy>
  <dcterms:modified xsi:type="dcterms:W3CDTF">2026-10-24T09:44:18Z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